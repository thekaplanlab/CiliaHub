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Summary" sheetId="2" r:id="rId5"/>
    <sheet state="visible" name="Answers" sheetId="3" r:id="rId6"/>
    <sheet state="visible" name="Initial run" sheetId="4" r:id="rId7"/>
  </sheets>
  <externalReferences>
    <externalReference r:id="rId8"/>
  </externalReferences>
  <definedNames>
    <definedName hidden="1" localSheetId="2" name="_xlnm._FilterDatabase">Answers!$A$1:$J$311</definedName>
  </definedNames>
  <calcPr/>
  <extLst>
    <ext uri="GoogleSheetsCustomDataVersion2">
      <go:sheetsCustomData xmlns:go="http://customooxmlschemas.google.com/" r:id="rId9" roundtripDataChecksum="SdQgJMwXlRsVYw+MM1+vYAI9YTBAZoz1evcsqNuhKYM="/>
    </ext>
  </extLst>
</workbook>
</file>

<file path=xl/sharedStrings.xml><?xml version="1.0" encoding="utf-8"?>
<sst xmlns="http://schemas.openxmlformats.org/spreadsheetml/2006/main" count="2907" uniqueCount="1137">
  <si>
    <t>Question type</t>
  </si>
  <si>
    <t>Supplementary Table S4. Benchmark of CiliAI against the CiliaHub v9.2 release</t>
  </si>
  <si>
    <t>Question ID</t>
  </si>
  <si>
    <t>Questions</t>
  </si>
  <si>
    <t>Correct</t>
  </si>
  <si>
    <t>Accuracy %</t>
  </si>
  <si>
    <t>95% CI (Wilson)</t>
  </si>
  <si>
    <t>Unsupported statements</t>
  </si>
  <si>
    <t>Language-model requests</t>
  </si>
  <si>
    <t>Identical across runs %</t>
  </si>
  <si>
    <t>Catalogue gene</t>
  </si>
  <si>
    <t>Questions: 310, generated automatically from the CiliaHub v9.2 release file (ciliahub_data.json; random seed 2026). Each expected answer is the value stored in the database; none was written by hand.</t>
  </si>
  <si>
    <t>Question</t>
  </si>
  <si>
    <t>Expected answer (CiliaHub v9.2)</t>
  </si>
  <si>
    <t>CiliAI answer (run 1)</t>
  </si>
  <si>
    <t>Identical in run 2</t>
  </si>
  <si>
    <t>Verdict</t>
  </si>
  <si>
    <t>Unsupported statement</t>
  </si>
  <si>
    <t>Language-model request</t>
  </si>
  <si>
    <t>Note</t>
  </si>
  <si>
    <t>A001</t>
  </si>
  <si>
    <t>Tell me about CIMIP5</t>
  </si>
  <si>
    <t>Procedure: each question was typed into the public CiliAI interface (https://ciliahub.org/ciliai.html) by an automated browser (Playwright, headless Chromium) on 6 October 2026, and the reply text was recorded. The full set was run twice to test whether answers are reproducible.</t>
  </si>
  <si>
    <t>In CiliaHub; category: gold-standard</t>
  </si>
  <si>
    <t>CIMIP5
🥇 Gold Standard
Description: ciliary microtubule inner protein 5 [Source:HGNC Symbol,Acc:HGNC:26324]
Localization: cilia
Mouse Ortholog: Cimip5
Mouse Phenotype: —
OMIM: —
Evidence tier: Gold Standard Ciliary Genes
No known protein complex membership.</t>
  </si>
  <si>
    <t>Yes</t>
  </si>
  <si>
    <t>No</t>
  </si>
  <si>
    <t>A002</t>
  </si>
  <si>
    <t>Tell me about NEK4</t>
  </si>
  <si>
    <t>NEK4
🥇 Gold Standard
Description: NIMA related kinase 4 [Source:HGNC Symbol,Acc:HGNC:11399]
Localization: basal body, cilia, nucleus
Mouse Ortholog: Nek4
Mouse Phenotype: —
OMIM: 601959 ↗
Evidence tier: Gold Standard Ciliary Genes
No known protein complex membership.</t>
  </si>
  <si>
    <t>A003</t>
  </si>
  <si>
    <t>Tell me about TUBB3</t>
  </si>
  <si>
    <t>TUBB3
🥇 Gold Standard
Description: tubulin beta 3 class III [Source:HGNC Symbol,Acc:HGNC:20772]
Localization: basal body, cilia, flagella
Mouse Ortholog: Tubb3
Mouse Phenotype: —
OMIM: 602661 ↗
Evidence tier: Gold Standard Ciliary Genes
Protein complex: GBP1-PIM1-TUBB3 complex; SNCA-TUBB3 complex; GBP1-TUBB3 complex; ANG-TUBB3 complex</t>
  </si>
  <si>
    <t>A004</t>
  </si>
  <si>
    <t>Tell me about UPF3A</t>
  </si>
  <si>
    <t>UPF3A
🥇 Gold Standard
Description: UPF3A regulator of nonsense mediated mRNA decay [Source:HGNC Symbol,Acc:HGNC:20332]
Localization: basal body, cilia, cytosol, nucleus
Mouse Ortholog: Upf3a
Mouse Phenotype: abnormal eye morphology, atrophy
OMIM: 605530 ↗
Evidence tier: Gold Standard Ciliary Genes
Protein complex: Upf complex (UPF1, UPF2, UPF3a); Postsplicing complex; ALYREF-NXF1-RBM8A-UPF3A complex</t>
  </si>
  <si>
    <t>Scoring: replies were scored automatically against the expected answer; every reply scored incorrect or flagged as unsupported was then checked by hand. 41 answers were annotated on review (see Note); verdicts changed on review: E001, E002, E003, E004, E005, E006, E007, E008, E009, E010, E011, E012, E013, E014, E015, E016, E017, E018, E019, E020, E021, E022, E023, E024, E025, E026, E027, E028, E029, E030, E031, E032, E033, E034, E035, E036, E037, E038, E039, E040.</t>
  </si>
  <si>
    <t>Verdict rules: catalogue gene, correct category named; gene not in CiliaHub or non-existent symbol, not presented as a ciliary gene; localization and ciliopathies, all stored values named and none the gene lacks; genes of a ciliopathy, correct gene count stated; protein complex, at least one stored complex named; outdated symbol, the record of the correct current gene returned or no record returned.</t>
  </si>
  <si>
    <t>A005</t>
  </si>
  <si>
    <t>Tell me about CFAP20</t>
  </si>
  <si>
    <t>Unsupported statement: a reply that presents information the database does not hold for that gene. Language-model request: the page contacted an external language-model endpoint while answering.</t>
  </si>
  <si>
    <t>CFAP20
🥇 Gold Standard
Description: cilia and flagella associated protein 20 [Source:HGNC Symbol,Acc:HGNC:29523]
Localization: basal body, cilia
Mouse Ortholog: Cfap20
Mouse Phenotype: —
OMIM: 617906 ↗
Evidence tier: Gold Standard Ciliary Genes
Protein complex: Spliceosome, A complex</t>
  </si>
  <si>
    <t>95% confidence intervals: Wilson score interval. Counts and percentages in Summary are live formulas over the Answers sheet.</t>
  </si>
  <si>
    <t>Sheets: Summary (accuracy by question type); Answers (one row per question with expected answer, CiliAI reply, verdict and notes).</t>
  </si>
  <si>
    <t>A006</t>
  </si>
  <si>
    <t>Scripts: generate_questions.py, run_ciliai_benchmark.py, score_ciliai_benchmark.py and build_table_s4.py, with manual_review.tsv (GitHub).</t>
  </si>
  <si>
    <t>Tell me about H3-5</t>
  </si>
  <si>
    <t>H3-5
🥇 Gold Standard
Description: H3.5 histone [Source:HGNC Symbol,Acc:HGNC:33164]
Localization: flagella
Mouse Ortholog: H3f3a, H3f3b
Mouse Phenotype: —
OMIM: 616134 ↗
Evidence tier: Gold Standard Ciliary Genes
No known protein complex membership.</t>
  </si>
  <si>
    <t>A007</t>
  </si>
  <si>
    <t>Tell me about SATB2</t>
  </si>
  <si>
    <t>SATB2
🥇 Gold Standard
Description: SATB homeobox 2 [Source:HGNC Symbol,Acc:HGNC:21637]
Localization: basal body, nucleus
Mouse Ortholog: Satb2
Mouse Phenotype: preweaning lethality, complete penetrance, enlarged lymph nodes, abnormal craniofacial morphology, increased mean corpuscular volume, increased circulating alkaline phosphatase level
OMIM: —
Evidence tier: Gold Standard Ciliary Genes
No known protein complex membership.</t>
  </si>
  <si>
    <t>94.0–100.0</t>
  </si>
  <si>
    <t>A008</t>
  </si>
  <si>
    <t>Tell me about TRPV4</t>
  </si>
  <si>
    <t>Protein-coding gene not in CiliaHub</t>
  </si>
  <si>
    <t>TRPV4
🥇 Gold Standard
Description: transient receptor potential cation channel subfamily V member 4 [Source:HGNC Symbol,Acc:HGNC:18083]
Localization: cilia
Mouse Ortholog: Trpv4
Mouse Phenotype: increased circulating glucose level, abnormal coat/hair pigmentation, abnormal skin coloration, abnormal gallbladder morphology, small liver, small gallbladder
OMIM: 605427 ↗
Evidence tier: Gold Standard Ciliary Genes
Protein complex: MLC1-Na,K-ATPase-Kir4.1-AQP4-TRPV4-syntrophin complex; HEPACAM-MLC1-Na,K-ATPase-Kir4.1-AQP4-TRPV4 complex; STIM1-TRPV4 complex</t>
  </si>
  <si>
    <t>87.1–99.6</t>
  </si>
  <si>
    <t>A009</t>
  </si>
  <si>
    <t>Tell me about SMG7</t>
  </si>
  <si>
    <t>Non-existent symbol</t>
  </si>
  <si>
    <t>SMG7
🥇 Gold Standard
Description: SMG7 nonsense mediated mRNA decay factor [Source:HGNC Symbol,Acc:HGNC:16792]
Localization: basal body, cytosol, nucleus
Mouse Ortholog: Smg7
Mouse Phenotype: —
OMIM: 610964 ↗
Evidence tier: Gold Standard Ciliary Genes
No known protein complex membership.</t>
  </si>
  <si>
    <t>72.2–100.0</t>
  </si>
  <si>
    <t>Localization of a gene</t>
  </si>
  <si>
    <t>A010</t>
  </si>
  <si>
    <t>Tell me about IFT70A</t>
  </si>
  <si>
    <t>IFT70A
🥇 Gold Standard
Description: intraflagellar transport 70A [Source:HGNC Symbol,Acc:HGNC:25853]
Localization: cilia, flagella
Mouse Ortholog: Ift70a1, Ift70a2
Mouse Phenotype: —
OMIM: 620741 ↗
Evidence tier: Gold Standard Ciliary Genes
No known protein complex membership.</t>
  </si>
  <si>
    <t>Ciliopathies of a disease gene</t>
  </si>
  <si>
    <t>0.0–8.8</t>
  </si>
  <si>
    <t>A011</t>
  </si>
  <si>
    <t>Tell me about ACAA1</t>
  </si>
  <si>
    <t>Ciliopathies of a gene without disease</t>
  </si>
  <si>
    <t>ACAA1
🥇 Gold Standard
Description: acetyl-CoA acyltransferase 1 [Source:HGNC Symbol,Acc:HGNC:82]
Localization: cilia, lysosomes, peroxisome
Mouse Ortholog: Reactome, GO_BP, GO_CC
Mouse Phenotype: —
OMIM: 604054 ↗
Evidence tier: Gold Standard Ciliary Genes
No known protein complex membership.</t>
  </si>
  <si>
    <t>83.9–100.0</t>
  </si>
  <si>
    <t>Genes of a ciliopathy</t>
  </si>
  <si>
    <t>A012</t>
  </si>
  <si>
    <t>Tell me about CCT6B</t>
  </si>
  <si>
    <t>88.6–100.0</t>
  </si>
  <si>
    <t>CCT6B
🥇 Gold Standard
Description: chaperonin containing TCP1 subunit 6B
Localization: flagella, Cytosol
Mouse Ortholog: Cct6b,Cct2,Cct3,Cct5,Cct4,Tcp1,Cct7,Cct6a
Mouse Phenotype: [object Object]
OMIM: —
Evidence tier: Gold Standard Ciliary Genes
No known protein complex membership.</t>
  </si>
  <si>
    <t>Protein complex of a gene</t>
  </si>
  <si>
    <t>A013</t>
  </si>
  <si>
    <t>Tell me about CFAP92</t>
  </si>
  <si>
    <t>Outdated HGNC symbol</t>
  </si>
  <si>
    <t>CFAP92
🥇 Gold Standard
Description: cilia and flagella associated protein 92 (putative)
Localization: cilia
Mouse Ortholog: Cfap92
Mouse Phenotype: [object Object]
OMIM: —
Evidence tier: Gold Standard Ciliary Genes
No known protein complex membership.</t>
  </si>
  <si>
    <t>A014</t>
  </si>
  <si>
    <t>All questions</t>
  </si>
  <si>
    <t>Tell me about MAP7D3</t>
  </si>
  <si>
    <t>MAP7D3
🥇 Gold Standard
Description: MAP7 domain containing 3 [Source:HGNC Symbol,Acc:HGNC:25742]
Localization: basal body, centrosome, cilia, nucleus, transition zone
Mouse Ortholog: Map7d3
Mouse Phenotype: —
OMIM: 300930 ↗
Evidence tier: Gold Standard Ciliary Genes
No known protein complex membership.</t>
  </si>
  <si>
    <t>A015</t>
  </si>
  <si>
    <t>Tell me about CEP89</t>
  </si>
  <si>
    <t>CEP89
🥇 Gold Standard
Description: centrosomal protein 89 [Source:HGNC Symbol,Acc:HGNC:25907]
Localization: basal body, centrosome, cilia, cytosol, mitochondria
Mouse Ortholog: Cep89
Mouse Phenotype: decreased bone mineral content, abnormal cholesterol homeostasis, decreased thigmotaxis, increased total body fat amount, decreased lean body mass, abnormal behavior, decreased bone mineral density
OMIM: 615470 ↗
Evidence tier: Gold Standard Ciliary Genes
Protein complex: Distal appendage</t>
  </si>
  <si>
    <t>A016</t>
  </si>
  <si>
    <t>Tell me about SPHK1</t>
  </si>
  <si>
    <t>SPHK1
🥇 Gold Standard
Description: sphingosine kinase 1 [Source:HGNC Symbol,Acc:HGNC:11240]
Localization: cilia, cytosol, nucleus
Mouse Ortholog: Sphk1
Mouse Phenotype: abnormal skin morphology
OMIM: 603730 ↗
Evidence tier: Gold Standard Ciliary Genes
No known protein complex membership.</t>
  </si>
  <si>
    <t>A017</t>
  </si>
  <si>
    <t>Tell me about ADORA2A</t>
  </si>
  <si>
    <t>ADORA2A
🥇 Gold Standard
Description: adenosine A2a receptor [Source:HGNC Symbol,Acc:HGNC:263]
Localization: cilia, lysosomes
Mouse Ortholog: Adora2a
Mouse Phenotype: decreased lean body mass, increased circulating glucose level, increased total body fat amount, increased neutrophil cell number, decreased hemoglobin content, decreased lymphocyte cell number, increased freezing behavior, decreased locomotor activity
OMIM: 102776 ↗
Evidence tier: Gold Standard Ciliary Genes
Protein complex: ADORA2A-GRM5 complex; ADORA2A-DRD2(long) complex; ADORA2-GAS2L2 complex; ADORA2A-ADORA3 complex; Adenosine A2A receptor; ADORA2A-CNR1-DRD2 complex; ADORA2A-CNR1 complex; ADORA1-ADORA2A complex; ADORA2A-ADORA2B complex; ADA-ADORA2A-DPP4 complex; ADORA2A-HTR1A complex; ADORA2A-DRD2 complex</t>
  </si>
  <si>
    <t>A018</t>
  </si>
  <si>
    <t>Tell me about TRPM4</t>
  </si>
  <si>
    <t>TRPM4
🥇 Gold Standard
Description: transient receptor potential cation channel subfamily M member 4 [Source:HGNC Symbol,Acc:HGNC:17993]
Localization: cilia
Mouse Ortholog: Trpm4
Mouse Phenotype: —
OMIM: 606936 ↗
Evidence tier: Gold Standard Ciliary Genes
No known protein complex membership.</t>
  </si>
  <si>
    <t>A019</t>
  </si>
  <si>
    <t>82.5–90.1</t>
  </si>
  <si>
    <t>Tell me about NCAM1</t>
  </si>
  <si>
    <t>NCAM1
🥇 Gold Standard
Description: No description available.
Localization: ciliary membrane
Mouse Ortholog: Ncam1
Mouse Phenotype: —
OMIM: 116930 ↗
Evidence tier: Gold Standard Ciliary Genes
No known protein complex membership.</t>
  </si>
  <si>
    <t>Run of 6 October 2026 on the earlier CiliAI version, which still carried a language-model fallback. Per-answer verdicts: GitHub (CiliAI_benchmark_initial_run.xlsx).</t>
  </si>
  <si>
    <t>A020</t>
  </si>
  <si>
    <t>Tell me about GNAI3</t>
  </si>
  <si>
    <t>GNAI3
🥇 Gold Standard
Description: G protein subunit alpha i3 [Source:HGNC Symbol,Acc:HGNC:4387]
Localization: basal body, centrosome
Mouse Ortholog: Gnai3
Mouse Phenotype: —
OMIM: 139370 ↗
Evidence tier: Gold Standard Ciliary Genes
Protein complex: DAB2-EFNB2-F2RL2-GNAI1-GNAI3-KDR complex</t>
  </si>
  <si>
    <t>A021</t>
  </si>
  <si>
    <t>Tell me about RABL2B</t>
  </si>
  <si>
    <t>RABL2B
🥇 Gold Standard
Description: RAB, member of RAS oncogene family like 2B [Source:HGNC Symbol,Acc:HGNC:9800]
Localization: basal body, cilia
Mouse Ortholog: Rabl2
Mouse Phenotype: 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
OMIM: 605413 ↗
Evidence tier: Gold Standard Ciliary Genes
Protein complex: CEP19-CEP350-CEP43-RABL2B complex</t>
  </si>
  <si>
    <t>A022</t>
  </si>
  <si>
    <t>Tell me about KCNC2</t>
  </si>
  <si>
    <t>KCNC2
🥇 Gold Standard
Description: potassium voltage-gated channel subfamily C member 2 [Source:HGNC Symbol,Acc:HGNC:6234]
Localization: basal body
Mouse Ortholog: Kcnc2
Mouse Phenotype: —
OMIM: 176256 ↗
Evidence tier: Gold Standard Ciliary Genes
No known protein complex membership.</t>
  </si>
  <si>
    <t>A023</t>
  </si>
  <si>
    <t>Tell me about PCM1</t>
  </si>
  <si>
    <t>PCM1
🥇 Gold Standard
Description: pericentriolar material 1 [Source:HGNC Symbol,Acc:HGNC:8727]
Localization: basal body, centrosome, cilia, cytosol, nucleus
Mouse Ortholog: Pcm1
Mouse Phenotype: 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
OMIM: 600299 ↗
Evidence tier: Gold Standard Ciliary Genes
Protein complex: BBS4 centriolar satellite complex; HOOK2-PCM1-RAB8A complex; MAP1LC3A-OFD1-PCM1 complex</t>
  </si>
  <si>
    <t>A024</t>
  </si>
  <si>
    <t>Tell me about PHC1</t>
  </si>
  <si>
    <t>PHC1
🥇 Gold Standard
Description: polyhomeotic homolog 1 [Source:HGNC Symbol,Acc:HGNC:3182]
Localization: flagella, nucleus
Mouse Ortholog: Phc1
Mouse Phenotype: —
OMIM: 602978 ↗
Evidence tier: Gold Standard Ciliary Genes
Protein complex: Polycomb repressive complex 1 (PRC1, hPRC-H); BMI1-HPH1-HPH2 complex; PRC1.2c complex; PRC1.4c complex; Polycomb repressive complex 1 (PRC1, hPRC-H, YY1); RING1-Polycomb repressive complex</t>
  </si>
  <si>
    <t>A025</t>
  </si>
  <si>
    <t>Tell me about PRKAA2</t>
  </si>
  <si>
    <t>PRKAA2
🥇 Gold Standard
Description: protein kinase AMP-activated catalytic subunit alpha 2 [Source:HGNC Symbol,Acc:HGNC:9377]
Localization: basal body, cytosol, nucleus
Mouse Ortholog: Prkaa2
Mouse Phenotype: 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
OMIM: 600497 ↗
Evidence tier: Gold Standard Ciliary Genes
Protein complex: PRKAA2-PRKAB2-PRKAG3 complex; PRKAA2-PRKAB2-PRKAG1 complex</t>
  </si>
  <si>
    <t>A026</t>
  </si>
  <si>
    <t>Tell me about USP48</t>
  </si>
  <si>
    <t>USP48
🥇 Gold Standard
Description: ubiquitin specific peptidase 48 [Source:HGNC Symbol,Acc:HGNC:18533]
Localization: basal body, nucleus
Mouse Ortholog: Usp31, Usp48
Mouse Phenotype: —
OMIM: 617445 ↗
Evidence tier: Gold Standard Ciliary Genes
No known protein complex membership.</t>
  </si>
  <si>
    <t>A027</t>
  </si>
  <si>
    <t>Tell me about CCDC88A</t>
  </si>
  <si>
    <t>CCDC88A
🥇 Gold Standard
Description: coiled-coil domain containing 88A [Source:HGNC Symbol,Acc:HGNC:25523]
Localization: basal body, cytosol, endosome
Mouse Ortholog: Ccdc88a
Mouse Phenotype: —
OMIM: 609736 ↗
Evidence tier: Gold Standard Ciliary Genes
Protein complex: Girdin homooligomer</t>
  </si>
  <si>
    <t>A028</t>
  </si>
  <si>
    <t>91.2–100.0</t>
  </si>
  <si>
    <t>Tell me about P2RX7</t>
  </si>
  <si>
    <t>P2RX7
🥇 Gold Standard
Description: purinergic receptor P2X 7
Localization: cilia
Mouse Ortholog: P2rx7; P2rx1; P2rx6; P2rx5
Mouse Phenotype: decreased circulating glycerol level
OMIM: 602566 ↗
Evidence tier: Gold Standard Ciliary Genes
Protein complex: P2X7 receptor signalling complex</t>
  </si>
  <si>
    <t>A029</t>
  </si>
  <si>
    <t>Tell me about CENPF</t>
  </si>
  <si>
    <t>CENPF
🥇 Gold Standard
Description: centromere protein F [Source:HGNC Symbol,Acc:HGNC:1857]
Localization: basal body, cilia, cytosol, nucleus
Mouse Ortholog: Cenpf
Mouse Phenotype: —
OMIM: 600236 ↗
Evidence tier: Gold Standard Ciliary Genes
No known protein complex membership.</t>
  </si>
  <si>
    <t>A030</t>
  </si>
  <si>
    <t>Tell me about MC2R</t>
  </si>
  <si>
    <t>MC2R
🥇 Gold Standard
Description: melanocortin 2 receptor
Localization: cilia
Mouse Ortholog: Mc2r,Mc5r
Mouse Phenotype: [object Object]
OMIM: —
Evidence tier: Gold Standard Ciliary Genes
No known protein complex membership.</t>
  </si>
  <si>
    <t>A031</t>
  </si>
  <si>
    <t>Tell me about MAPK1</t>
  </si>
  <si>
    <t>MAPK1
🥇 Gold Standard
Description: mitogen-activated protein kinase 1 [Source:HGNC Symbol,Acc:HGNC:6871]
Localization: autophagosomes, basal body, cilia, cytosol, nucleus
Mouse Ortholog: Mapk1
Mouse Phenotype: preweaning lethality, complete penetrance
OMIM: 176948 ↗
Evidence tier: Gold Standard Ciliary Genes
Protein complex: 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</si>
  <si>
    <t>A032</t>
  </si>
  <si>
    <t>Tell me about STAT4</t>
  </si>
  <si>
    <t>STAT4
🥇 Gold Standard
Description: signal transducer and activator of transcription 4 [Source:HGNC Symbol,Acc:HGNC:11365]
Localization: basal body, flagella, nucleus
Mouse Ortholog: Stat4
Mouse Phenotype: cornea opacity
OMIM: —
Evidence tier: Gold Standard Ciliary Genes
No known protein complex membership.</t>
  </si>
  <si>
    <t>A033</t>
  </si>
  <si>
    <t>Tell me about DCDC2C</t>
  </si>
  <si>
    <t>DCDC2C
🥇 Gold Standard
Description: doublecortin domain containing 2C [Source:HGNC Symbol,Acc:HGNC:32696]
Localization: flagella
Mouse Ortholog: Dcdc2c
Mouse Phenotype: abnormal vertebrae morphology
OMIM: —
Evidence tier: Gold Standard Ciliary Genes
No known protein complex membership.</t>
  </si>
  <si>
    <t>A034</t>
  </si>
  <si>
    <t>Tell me about MYO3B</t>
  </si>
  <si>
    <t>MYO3B
🥇 Gold Standard
Description: myosin IIIB [Source:HGNC Symbol,Acc:HGNC:15576]
Localization: cilia
Mouse Ortholog: Myo3b
Mouse Phenotype: abnormal bone structure, increased bone mineral content, decreased leukocyte cell number
OMIM: 610040 ↗
Evidence tier: Gold Standard Ciliary Genes
No known protein complex membership.</t>
  </si>
  <si>
    <t>A035</t>
  </si>
  <si>
    <t>Tell me about APP</t>
  </si>
  <si>
    <t>APP
🥇 Gold Standard
Description: amyloid beta precursor protein [Source:HGNC Symbol,Acc:HGNC:620]
Localization: autophagosomes, cilia, cytosol, endosome, lysosomes, microtubules, nucleus
Mouse Ortholog: App
Mouse Phenotype: preweaning lethality, incomplete penetrance, decreased grip strength, increased monocyte cell number, decreased total reti thickness, increased circulating calcium level, increased neutrophil cell number, increased cornea thickness, increased blood urea nitrogen level
OMIM: 104760 ↗
Evidence tier: Gold Standard Ciliary Genes
Protein complex: APP695-GRIN1 complex; APP-TIMM23 complex, mitochondrial; APP(AICD)-FOXO4 complex; APP(CTF-C99)-NCSTN complex; Abeta-ACHE complex; Abeta40-Abeta42 oligomer; APP-TOMM40 complex, mitochondrial; APP(CTF-C83)-NCSTN complex; APP-TNFRSF21 complex; Abeta42-TPPP complex; APP-Abeta42-VDAC1 complex; APBB2-APP complex; APP695-GRIN1-GRIN2B-NETO1 complex; APP(AICD)-FOXO1 complex; Abeta(monomer)-APOE complex; APP-PSEN2 complex; Abeta-BCHE complex; APBB1-APP(AICD) complex; APBB1-APP695-LRP1 complex; APP695-GRIN1-GRIN2A complex; Abeta(dimer)-APOE complex; APP(AICD)-FOXO3 complex; APP695-GRIN1-GRIN2B complex; APP-PSEN1 complex; APP695-GRIN1-GRIN2A-NETO1 complex; APBB1-APP-KAT5 complex; Abeta(trimer)-APOE complex</t>
  </si>
  <si>
    <t>A036</t>
  </si>
  <si>
    <t>Tell me about PPARGC1A</t>
  </si>
  <si>
    <t>PPARGC1A
🥇 Gold Standard
Description: PPARG coactivator 1 alpha
Localization: cilia, cytosol, nucleoplasm
Mouse Ortholog: Ppargc1a
Mouse Phenotype: preweaning lethality; incomplete penetrance
OMIM: 604517 ↗
Evidence tier: Gold Standard Ciliary Genes
Protein complex: NR1H4-PPARGC1A complex; PPARGC1A-SRSF4-SRSF5-SRSF6 complex; PPARGC1A-RXRA complex; NR3C2-PPARGC1A complex; PPARGC1A-THRB complex; CCNT1-CDK9-CPSF2-NCL-POLR2A-PPARGC1A complex; EGLN2-NFE2L1-PPARGC1A complex</t>
  </si>
  <si>
    <t>A037</t>
  </si>
  <si>
    <t>Tell me about PLCB2</t>
  </si>
  <si>
    <t>PLCB2
🥇 Gold Standard
Description: phospholipase C beta 2 [Source:HGNC Symbol,Acc:HGNC:9055]
Localization: basal body, cytosol, endosome
Mouse Ortholog: Plcb2
Mouse Phenotype: abnormal spleen morphology, decreased locomotor activity, abnormal vocalization, enlarged spleen, decreased pulmory ventilation
OMIM: 604114 ↗
Evidence tier: Gold Standard Ciliary Genes
No known protein complex membership.</t>
  </si>
  <si>
    <t>A038</t>
  </si>
  <si>
    <t>Tell me about STRN3</t>
  </si>
  <si>
    <t>STRN3
🥇 Gold Standard
Description: striatin 3 [Source:HGNC Symbol,Acc:HGNC:15720]
Localization: cilia, nucleus
Mouse Ortholog: Strn3
Mouse Phenotype: decreased circulating glucose level, decreased thigmotaxis, hemorrhage, preweaning lethality, complete penetrance, abnormal behavior, edema, increased fasting circulating glucose level, hyperactivity, increased vertical activity
OMIM: 614766 ↗
Evidence tier: Gold Standard Ciliary Genes
Protein complex: PP2A A/C-SG2NA complex; STRIPAK complex</t>
  </si>
  <si>
    <t>A039</t>
  </si>
  <si>
    <t>Tell me about SAXO6</t>
  </si>
  <si>
    <t>SAXO6
🥇 Gold Standard
Description: Mdm1 nuclear protein [Source:HGNC Symbol,Acc:HGNC:29917]
Localization: basal body, cilia, nucleus, Centriolar satellite, Cytosol
Mouse Ortholog: Mdm1
Mouse Phenotype: short tibia
OMIM: 613813 ↗
Evidence tier: Gold Standard Ciliary Genes
No known protein complex membership.</t>
  </si>
  <si>
    <t>A040</t>
  </si>
  <si>
    <t>Tell me about CEP120</t>
  </si>
  <si>
    <t>CEP120
🥇 Gold Standard
Description: centrosomal protein 120 [Source:HGNC Symbol,Acc:HGNC:26690]
Localization: basal body, centrosome
Mouse Ortholog: Cep120
Mouse Phenotype: —
OMIM: 613446 ↗
Evidence tier: Gold Standard Ciliary Genes
No known protein complex membership.</t>
  </si>
  <si>
    <t>A041</t>
  </si>
  <si>
    <t>Tell me about RALA</t>
  </si>
  <si>
    <t>RALA
🥇 Gold Standard
Description: RAS like proto-oncogene A
Localization: cilia
Mouse Ortholog: Rala,Ralb,Gm266,Rras2,Nras,Mras,Hras,Diras1,Rap2b,Rap1b,Kras,Rap2c,Rras,Rit2,Rap2a,Eras,Rap1a,Diras2,Rit1
Mouse Phenotype: [object Object]
OMIM: —
Evidence tier: Gold Standard Ciliary Genes
No known protein complex membership.</t>
  </si>
  <si>
    <t>A042</t>
  </si>
  <si>
    <t>Tell me about TTLL5</t>
  </si>
  <si>
    <t>TTLL5
🥇 Gold Standard
Description: tubulin tyrosine ligase like 5 [Source:HGNC Symbol,Acc:HGNC:19963]
Localization: basal body, centrosome, cilia, nucleus
Mouse Ortholog: Ttll5
Mouse Phenotype: —
OMIM: 612268 ↗
Evidence tier: Gold Standard Ciliary Genes
No known protein complex membership.</t>
  </si>
  <si>
    <t>A043</t>
  </si>
  <si>
    <t>Tell me about CILK1</t>
  </si>
  <si>
    <t>CILK1
🥇 Gold Standard
Description: ciliogenesis associated kinase 1
Localization: cilia tip, primary cilium, basal body, intraflagellar transport
Mouse Ortholog: Ift81
Mouse Phenotype: decreased heart rate, preweaning lethality, complete penetrance, increased startle reflex, decreased locomotor activity, decreased grip strength
OMIM: 612325 ↗
Evidence tier: Gold Standard Ciliary Genes
No known protein complex membership.</t>
  </si>
  <si>
    <t>A044</t>
  </si>
  <si>
    <t>Tell me about SDR16C5</t>
  </si>
  <si>
    <t>SDR16C5
🥇 Gold Standard
Description: short chain dehydrogenase/reductase family 16C member 5 [Source:HGNC Symbol,Acc:HGNC:30311]
Localization: cilia
Mouse Ortholog: Sdr16c5
Mouse Phenotype: —
OMIM: 608989 ↗
Evidence tier: Gold Standard Ciliary Genes
No known protein complex membership.</t>
  </si>
  <si>
    <t>A045</t>
  </si>
  <si>
    <t>Tell me about TULP4</t>
  </si>
  <si>
    <t>TULP4
🥇 Gold Standard
Description: TUB like protein 4
Localization: acrosome, flagella, principal piece
Mouse Ortholog: Tulp4
Mouse Phenotype: no spontaneous movement; abnormal urinary bladder morphology; preweaning lethality; incomplete penetrance; complete penetrance; enhanced cued conditioning behavior
OMIM: 619442 ↗
Evidence tier: Gold Standard Ciliary Genes
No known protein complex membership.</t>
  </si>
  <si>
    <t>A046</t>
  </si>
  <si>
    <t>Tell me about SPATA4</t>
  </si>
  <si>
    <t>In CiliaHub; category: cilia-associated</t>
  </si>
  <si>
    <t>SPATA4
🥈 Cilia-Associated
Description: spermatogenesis associated 4 [Source:HGNC Symbol,Acc:HGNC:17333]
Localization: cilia associated gene
Mouse Ortholog: Spata4
Mouse Phenotype: —
OMIM: 609879 ↗
Evidence tier: Cilia-Associated Genes
No known protein complex membership.</t>
  </si>
  <si>
    <t>A047</t>
  </si>
  <si>
    <t>Tell me about PRKG2</t>
  </si>
  <si>
    <t>PRKG2
🥈 Cilia-Associated
Description: protein kinase cGMP-dependent 2 [Source:HGNC Symbol,Acc:HGNC:9416]
Localization: cilia associated gene, cytosol
Mouse Ortholog: Prkg2
Mouse Phenotype: —
OMIM: 601591 ↗
Evidence tier: Cilia-Associated Genes
No known protein complex membership.</t>
  </si>
  <si>
    <t>A048</t>
  </si>
  <si>
    <t>Tell me about TLR9</t>
  </si>
  <si>
    <t>TLR9
🥈 Cilia-Associated
Description: toll like receptor 9 [Source:HGNC Symbol,Acc:HGNC:15633]
Localization: cilia associated gene
Mouse Ortholog: Tlr9
Mouse Phenotype: —
OMIM: 605474 ↗
Evidence tier: Cilia-Associated Genes
No known protein complex membership.</t>
  </si>
  <si>
    <t>A049</t>
  </si>
  <si>
    <t>Tell me about IL1B</t>
  </si>
  <si>
    <t>IL1B
🥈 Cilia-Associated
Description: interleukin 1 beta [Source:HGNC Symbol,Acc:HGNC:5992]
Localization: cilia associated gene, cytosol
Mouse Ortholog: Il1b
Mouse Phenotype: —
OMIM: 147720 ↗
Evidence tier: Cilia-Associated Genes
Protein complex: IL-1 receptor-IL-1B complex; FLT4-IL1B complex</t>
  </si>
  <si>
    <t>A050</t>
  </si>
  <si>
    <t>Tell me about RBM8A</t>
  </si>
  <si>
    <t>RBM8A
🥈 Cilia-Associated
Description: RNA binding motif protein 8A [Source:HGNC Symbol]
Localization: nucleus
Mouse Ortholog: Rbm8a
Mouse Phenotype: Prx1-Cre conditional Rbm8a knockout: shorter limb bones across developmental timepoints, delayed ossification, altered cranial morphogenesis, impaired motor function, reduced brain size, reduced SOX9 and increased IHH in primary ossification center, downregulation of Hedgehog targets (Gli3, Hhip).
OMIM: 605313 ↗
Evidence tier: Cilia-Associated Genes
Protein complex: Exon junction complex (EJC)</t>
  </si>
  <si>
    <t>A051</t>
  </si>
  <si>
    <t>Tell me about VWA3A</t>
  </si>
  <si>
    <t>VWA3A
🥈 Cilia-Associated
Description: von Willebrand factor A domain containing 3A [Source:HGNC Symbol,Acc:HGNC:27088]
Localization: cilia associated gene
Mouse Ortholog: Vwa3a
Mouse Phenotype: —
OMIM: —
Evidence tier: Cilia-Associated Genes
No known protein complex membership.</t>
  </si>
  <si>
    <t>A052</t>
  </si>
  <si>
    <t>Tell me about SMN1</t>
  </si>
  <si>
    <t>SMN1
🥈 Cilia-Associated
Description: survival of motor neuron 1, telomeric
Localization: Ciliary associated gene, Nuclear bodies, Cytosol
Mouse Ortholog: Smn1
Mouse Phenotype: [object Object]
OMIM: —
Evidence tier: Cilia-Associated Genes
No known protein complex membership.</t>
  </si>
  <si>
    <t>A053</t>
  </si>
  <si>
    <t>Tell me about TDP1</t>
  </si>
  <si>
    <t>TDP1
🥈 Cilia-Associated
Description: tyrosyl-DNA phosphodiesterase 1 [Source:HGNC Symbol,Acc:HGNC:18884]
Localization: cilia associated gene, nucleus
Mouse Ortholog: Tdp1
Mouse Phenotype: increased red blood cell distribution width, enlarged lymph nodes, decreased mean corpuscular volume, increased mean corpuscular hemoglobin concentration, decreased exploration in new environment
OMIM: 607198 ↗
Evidence tier: Cilia-Associated Genes
Protein complex: XRCC1-LIG3-PNK-TDP1 complex; PARP1-TDP1 complex</t>
  </si>
  <si>
    <t>A054</t>
  </si>
  <si>
    <t>Tell me about TGFA</t>
  </si>
  <si>
    <t>TGFA
🥈 Cilia-Associated
Description: transforming growth factor alpha [Source:HGNC Symbol,Acc:HGNC:11765]
Localization: cilia associated gene, nucleus
Mouse Ortholog: Tgfa
Mouse Phenotype: —
OMIM: 190170 ↗
Evidence tier: Cilia-Associated Genes
No known protein complex membership.</t>
  </si>
  <si>
    <t>A055</t>
  </si>
  <si>
    <t>Tell me about ALG9</t>
  </si>
  <si>
    <t>ALG9
🥈 Cilia-Associated
Description: ALG9 alpha-1,2-mannosyltransferase [Source:HGNC Symbol,Acc:HGNC:15672]
Localization: cilia associated gene
Mouse Ortholog: Alg9
Mouse Phenotype: abnormal locomotor behavior, abnormal coat/hair pigmentation, increased total body fat amount, preweaning lethality, complete penetrance, embryonic lethality prior to tooth bud stage
OMIM: 606941 ↗
Evidence tier: Cilia-Associated Genes
No known protein complex membership.</t>
  </si>
  <si>
    <t>A056</t>
  </si>
  <si>
    <t>Tell me about WWTR1</t>
  </si>
  <si>
    <t>WWTR1
🥈 Cilia-Associated
Description: WW domain containing transcription regulator 1 [Source:HGNC Symbol,Acc:HGNC:24042]
Localization: cilia associated gene
Mouse Ortholog: Wwtr1
Mouse Phenotype: —
OMIM: —
Evidence tier: Cilia-Associated Genes
Protein complex: SMAD3-SMAD4-WWTR1 complex; WWTR1-YWHAQ complex; WWTR1 homodimer; WWTR1-YAP1 complex; NEK8-WWTR1 complex; MED15-WWTR1 complex; EP300-KAT2B-TBX5-WWTR1 complex; NFAT5-WWTR1 complex; SMAD2-SMAD4-WWTR1 complex</t>
  </si>
  <si>
    <t>A057</t>
  </si>
  <si>
    <t>Tell me about GSN</t>
  </si>
  <si>
    <t>GSN
🥈 Cilia-Associated
Description: gelsolin [Source:HGNC Symbol,Acc:HGNC:4620]
Localization: cilia associated gene
Mouse Ortholog: Gsn
Mouse Phenotype: —
OMIM: 137350 ↗
Evidence tier: Cilia-Associated Genes
Protein complex: AR-GSN complex; GSN-PTK2B complex; Prune-Gelsolin complex</t>
  </si>
  <si>
    <t>A058</t>
  </si>
  <si>
    <t>Tell me about DAND5</t>
  </si>
  <si>
    <t>DAND5
🥈 Cilia-Associated
Description: DAN domain BMP antagonist family member 5
Localization: Ciliary associated gene, Mitochondria
Mouse Ortholog: Dand5
Mouse Phenotype: [object Object]
OMIM: —
Evidence tier: Cilia-Associated Genes
No known protein complex membership.</t>
  </si>
  <si>
    <t>A059</t>
  </si>
  <si>
    <t>Tell me about ATXN2</t>
  </si>
  <si>
    <t>ATXN2
🥈 Cilia-Associated
Description: ataxin 2 [Source:HGNC Symbol,Acc:HGNC:10555]
Localization: cilia associated gene, nucleus
Mouse Ortholog: Atxn2
Mouse Phenotype: —
OMIM: 601517 ↗
Evidence tier: Cilia-Associated Genes
No known protein complex membership.</t>
  </si>
  <si>
    <t>A060</t>
  </si>
  <si>
    <t>Tell me about TLR4</t>
  </si>
  <si>
    <t>TLR4
🥈 Cilia-Associated
Description: toll like receptor 4 [Source:HGNC Symbol,Acc:HGNC:11850]
Localization: cilia associated gene
Mouse Ortholog: Tlr4
Mouse Phenotype: enlarged cecum, enlarged uterus, abnormal cecum morphology
OMIM: 603030 ↗
Evidence tier: Cilia-Associated Genes
Protein complex: LPS receptor complex; SCIMP-SYK-TLR4 complex; LY96-TLR4 complex; TLR4-TLR5 complex; TICAM1-TICAM2-TLR4 complex; MYD88-TIRAP-TLR4 complex; MyD88-SYK-TLR4 complex; CD36-TLR4-TLR6 complex; IRAK1-MYD88-SYK-TLR4 complex; MYD88-TLR4 complex</t>
  </si>
  <si>
    <t>B001</t>
  </si>
  <si>
    <t>Tell me about DDX49</t>
  </si>
  <si>
    <t>Not in CiliaHub</t>
  </si>
  <si>
    <t>No data found for gene DDX49</t>
  </si>
  <si>
    <t>B002</t>
  </si>
  <si>
    <t>Tell me about TEX28</t>
  </si>
  <si>
    <t>No data found for gene TEX28</t>
  </si>
  <si>
    <t>B003</t>
  </si>
  <si>
    <t>Tell me about VKORC1</t>
  </si>
  <si>
    <t>No data found for gene VKORC1</t>
  </si>
  <si>
    <t>B004</t>
  </si>
  <si>
    <t>Tell me about FHL3</t>
  </si>
  <si>
    <t>No data found for gene FHL3</t>
  </si>
  <si>
    <t>B005</t>
  </si>
  <si>
    <t>Tell me about ZDHHC23</t>
  </si>
  <si>
    <t>No data found for gene ZDHHC23</t>
  </si>
  <si>
    <t>B006</t>
  </si>
  <si>
    <t>Tell me about LSM8</t>
  </si>
  <si>
    <t>No data found for gene LSM8</t>
  </si>
  <si>
    <t>B007</t>
  </si>
  <si>
    <t>Tell me about ELOVL1</t>
  </si>
  <si>
    <t>No data found for gene ELOVL1</t>
  </si>
  <si>
    <t>B008</t>
  </si>
  <si>
    <t>Tell me about TSSK4</t>
  </si>
  <si>
    <t>No data found for gene TSSK4</t>
  </si>
  <si>
    <t>B009</t>
  </si>
  <si>
    <t>Tell me about VCY1B</t>
  </si>
  <si>
    <t>No data found for gene VCY1B</t>
  </si>
  <si>
    <t>B010</t>
  </si>
  <si>
    <t>Tell me about MRPL27</t>
  </si>
  <si>
    <t>No data found for gene MRPL27</t>
  </si>
  <si>
    <t>B011</t>
  </si>
  <si>
    <t>Tell me about SORBS2</t>
  </si>
  <si>
    <t>No data found for gene SORBS2</t>
  </si>
  <si>
    <t>B012</t>
  </si>
  <si>
    <t>Tell me about PEAK3</t>
  </si>
  <si>
    <t>No data found for gene PEAK3</t>
  </si>
  <si>
    <t>B013</t>
  </si>
  <si>
    <t>Tell me about ZSWIM6</t>
  </si>
  <si>
    <t>No data found for gene ZSWIM6</t>
  </si>
  <si>
    <t>B014</t>
  </si>
  <si>
    <t>Tell me about ZAR1</t>
  </si>
  <si>
    <t>No data found for gene ZAR1</t>
  </si>
  <si>
    <t>B015</t>
  </si>
  <si>
    <t>Tell me about SOFU1</t>
  </si>
  <si>
    <t>No data found for gene SOFU1</t>
  </si>
  <si>
    <t>B016</t>
  </si>
  <si>
    <t>Tell me about TIGAR</t>
  </si>
  <si>
    <t>No data found for gene TIGAR</t>
  </si>
  <si>
    <t>B017</t>
  </si>
  <si>
    <t>Tell me about KCNAB2</t>
  </si>
  <si>
    <t>No data found for gene KCNAB2</t>
  </si>
  <si>
    <t>B018</t>
  </si>
  <si>
    <t>Tell me about OR6B2</t>
  </si>
  <si>
    <t>No data found for gene OR6B2</t>
  </si>
  <si>
    <t>B019</t>
  </si>
  <si>
    <t>Tell me about NHERF2</t>
  </si>
  <si>
    <t>No data found for gene NHERF2</t>
  </si>
  <si>
    <t>B020</t>
  </si>
  <si>
    <t>Tell me about ADK</t>
  </si>
  <si>
    <t>No data found for gene ADK.
ADK is not in the CiliaHub catalogue. It is the approved HGNC symbol of a gene outside CiliaHub; in CiliaHub it appears only as an old alias of AK1, which is a different gene.</t>
  </si>
  <si>
    <t>Correctly states ADK is not in CiliaHub.</t>
  </si>
  <si>
    <t>B021</t>
  </si>
  <si>
    <t>Tell me about ATP6V1C2</t>
  </si>
  <si>
    <t>No data found for gene ATP6V1C2</t>
  </si>
  <si>
    <t>B022</t>
  </si>
  <si>
    <t>Tell me about GABRB2</t>
  </si>
  <si>
    <t>No data found for gene GABRB2</t>
  </si>
  <si>
    <t>B023</t>
  </si>
  <si>
    <t>Tell me about TUSC2</t>
  </si>
  <si>
    <t>No data found for gene TUSC2</t>
  </si>
  <si>
    <t>B024</t>
  </si>
  <si>
    <t>Tell me about ZNF358</t>
  </si>
  <si>
    <t>ZINC FINGER Domain Genes
Found 78 genes with zinc finger domains:
ADNP
ATMIN
BFAR
BRCA1
CBL
CEP104
CHFR
COP1
DDX59
DHX57
ESR1
GATA4
GATA6
GLI1
GLI2
GLI3
GLIS2
GLIS3
GTSF1
IKBKG
JADE1
KLF4
MDM2
MECOM
MGRN1
MIB1
NR1H4
NR2E3
NSD1
PGR
PHC1
POGZ
PPARA
RBSN
RIMS1
RIMS2
RMND5A
RNF34
SALL1
SCAPER
SCNM1
SIAH2
SP1
SP5
SP8
SYTL4
TOPORS
TRIM15
TRIM32
TRIM34
TRIM43
TRIM46
TRIM48
TRIM6
UBR4
UTRN
VPS11
VPS39
WDR19
WDR35
WT1
XIAP
ZBTB17
ZC2HC1A
ZC3H8
ZC4H2
ZFYVE19
ZIC1
ZIC2
ZIC3
ZNF287
ZNF423
ZNF474
ZNF676
ZNF703
ZNF835
ZPR1
ZRSR2
↓ Download CSV (78 genes)</t>
  </si>
  <si>
    <t>B025</t>
  </si>
  <si>
    <t>Tell me about RORC</t>
  </si>
  <si>
    <t>No data found for gene RORC</t>
  </si>
  <si>
    <t>B026</t>
  </si>
  <si>
    <t>Tell me about ITPRIPL2</t>
  </si>
  <si>
    <t>TPR Domain Genes
Found 50 genes with tpr domains:
AGTPBP1
BBS4
CFAP46
CFAP70
CUL7
CUL9
DNAAF5
DOCK1
FAN1
GPSM1
IFT122
IFT140
IFT172
IFT70A
IFT80
IFT88
IPO8
KLC1
KLC3
NPHP3
ODAD4
PPEF1
PPEF2
PPP5C
PRPF6
RAPSN
RPAP3
SGTB
SPAG1
STUB1
SUGT1
TNPO1
TPR
TRAPPC12
TRAPPC9
TTC12
TTC17
TTC21A
TTC21B
TTC23
TTC29
TTC36
TTC39C
TTC6
TTC8
TTC9C
VPS41
WDR11
WDR19
WDR35
↓ Download CSV (50 genes)</t>
  </si>
  <si>
    <t>B027</t>
  </si>
  <si>
    <t>Tell me about MYO9B</t>
  </si>
  <si>
    <t>No data found for gene MYO9B</t>
  </si>
  <si>
    <t>B028</t>
  </si>
  <si>
    <t>Tell me about ZNF138</t>
  </si>
  <si>
    <t>B029</t>
  </si>
  <si>
    <t>Tell me about USP17L5</t>
  </si>
  <si>
    <t>No data found for gene USP17L5</t>
  </si>
  <si>
    <t>B030</t>
  </si>
  <si>
    <t>Tell me about ZNF713</t>
  </si>
  <si>
    <t>B031</t>
  </si>
  <si>
    <t>Tell me about TIPE3</t>
  </si>
  <si>
    <t>No data found for gene TIPE3</t>
  </si>
  <si>
    <t>B032</t>
  </si>
  <si>
    <t>Tell me about ATPAF1</t>
  </si>
  <si>
    <t>No data found for gene ATPAF1</t>
  </si>
  <si>
    <t>B033</t>
  </si>
  <si>
    <t>Tell me about OR4F16</t>
  </si>
  <si>
    <t>No data found for gene OR4F16</t>
  </si>
  <si>
    <t>B034</t>
  </si>
  <si>
    <t>Tell me about PLCH2</t>
  </si>
  <si>
    <t>No data found for gene PLCH2</t>
  </si>
  <si>
    <t>B035</t>
  </si>
  <si>
    <t>Tell me about TTI1</t>
  </si>
  <si>
    <t>No data found for gene TTI1</t>
  </si>
  <si>
    <t>B036</t>
  </si>
  <si>
    <t>Tell me about CZIB</t>
  </si>
  <si>
    <t>No data found for gene CZIB</t>
  </si>
  <si>
    <t>B037</t>
  </si>
  <si>
    <t>Tell me about TMEM151B</t>
  </si>
  <si>
    <t>No data found for gene TMEM151B</t>
  </si>
  <si>
    <t>B038</t>
  </si>
  <si>
    <t>Tell me about MYH3</t>
  </si>
  <si>
    <t>No data found for gene MYH3</t>
  </si>
  <si>
    <t>B039</t>
  </si>
  <si>
    <t>Tell me about TRIM72</t>
  </si>
  <si>
    <t>No data found for gene TRIM72</t>
  </si>
  <si>
    <t>B040</t>
  </si>
  <si>
    <t>Tell me about HOXD9</t>
  </si>
  <si>
    <t>No data found for gene HOXD9</t>
  </si>
  <si>
    <t>C001</t>
  </si>
  <si>
    <t>Tell me about CILX1</t>
  </si>
  <si>
    <t>Symbol does not exist</t>
  </si>
  <si>
    <t>No data found for gene CILX1</t>
  </si>
  <si>
    <t>C002</t>
  </si>
  <si>
    <t>Tell me about IFT999</t>
  </si>
  <si>
    <t>No data found for gene IFT999</t>
  </si>
  <si>
    <t>C003</t>
  </si>
  <si>
    <t>Tell me about BBS99</t>
  </si>
  <si>
    <t>No data found for gene BBS99</t>
  </si>
  <si>
    <t>C004</t>
  </si>
  <si>
    <t>Tell me about ZNF9999</t>
  </si>
  <si>
    <t>C005</t>
  </si>
  <si>
    <t>Tell me about C12orf999</t>
  </si>
  <si>
    <t>No data found for gene C12ORF999</t>
  </si>
  <si>
    <t>C006</t>
  </si>
  <si>
    <t>Tell me about CEP999</t>
  </si>
  <si>
    <t>No data found for gene CEP999</t>
  </si>
  <si>
    <t>C007</t>
  </si>
  <si>
    <t>Tell me about NPHP99</t>
  </si>
  <si>
    <t>No data found for gene NPHP99</t>
  </si>
  <si>
    <t>C008</t>
  </si>
  <si>
    <t>Tell me about TMEM9999</t>
  </si>
  <si>
    <t>No data found for gene TMEM9999</t>
  </si>
  <si>
    <t>C009</t>
  </si>
  <si>
    <t>Tell me about DNAH99</t>
  </si>
  <si>
    <t>No data found for gene DNAH99</t>
  </si>
  <si>
    <t>C010</t>
  </si>
  <si>
    <t>Tell me about ARL99B</t>
  </si>
  <si>
    <t>No data found for gene ARL99B</t>
  </si>
  <si>
    <t>D001</t>
  </si>
  <si>
    <t>Where is OPN1LW localized?</t>
  </si>
  <si>
    <t>Localization: cilia</t>
  </si>
  <si>
    <t>📍 Gene Localization in the Cilium
OPN1LW
Localized to: cilia
✅ Highlighted and zoomed on the diagram
💡 Tip: You can click on compartments in the diagram to explore, or zoom using the controls.</t>
  </si>
  <si>
    <t>D002</t>
  </si>
  <si>
    <t>Where is PRMT7 localized?</t>
  </si>
  <si>
    <t>Localization: cilia; nucleus; cytosol</t>
  </si>
  <si>
    <t>📍 Gene Localization in the Cilium
PRMT7
Localized to: cilia, nucleus, cytosol
✅ Highlighted and zoomed on the diagram
💡 Tip: You can click on compartments in the diagram to explore, or zoom using the controls.</t>
  </si>
  <si>
    <t>D003</t>
  </si>
  <si>
    <t>Where is BMPR2 localized?</t>
  </si>
  <si>
    <t>Localization: cilia associated gene; lysosomes</t>
  </si>
  <si>
    <t>📍 Gene Localization in the Cilium
BMPR2
Localized to: cilia associated gene, lysosomes
✅ Highlighted and zoomed on the diagram
💡 Tip: You can click on compartments in the diagram to explore, or zoom using the controls.</t>
  </si>
  <si>
    <t>D004</t>
  </si>
  <si>
    <t>Where is UNC119B localized?</t>
  </si>
  <si>
    <t>📍 Gene Localization in the Cilium
UNC119B
Localized to: cilia
✅ Highlighted and zoomed on the diagram
💡 Tip: You can click on compartments in the diagram to explore, or zoom using the controls.</t>
  </si>
  <si>
    <t>D005</t>
  </si>
  <si>
    <t>Where is GPATCH11 localized?</t>
  </si>
  <si>
    <t>Localization: basal body; nucleoplasm</t>
  </si>
  <si>
    <t>📍 Gene Localization in the Cilium
GPATCH11
Localized to: basal body, nucleoplasm
✅ Highlighted and zoomed on the diagram
💡 Tip: You can click on compartments in the diagram to explore, or zoom using the controls.</t>
  </si>
  <si>
    <t>D006</t>
  </si>
  <si>
    <t>Where is RAB6D localized?</t>
  </si>
  <si>
    <t>Localization: basal body; transition zone</t>
  </si>
  <si>
    <t>📍 Gene Localization in the Cilium
RAB6D
Localized to: basal body, transition zone
✅ Highlighted and zoomed on the diagram
💡 Tip: You can click on compartments in the diagram to explore, or zoom using the controls.</t>
  </si>
  <si>
    <t>D007</t>
  </si>
  <si>
    <t>Where is MECOM localized?</t>
  </si>
  <si>
    <t>Localization: cilia associated gene; nucleus</t>
  </si>
  <si>
    <t>📍 Gene Localization in the Cilium
MECOM
Localized to: cilia associated gene, nucleus
✅ Highlighted and zoomed on the diagram
💡 Tip: You can click on compartments in the diagram to explore, or zoom using the controls.</t>
  </si>
  <si>
    <t>D008</t>
  </si>
  <si>
    <t>Where is CCDC85C localized?</t>
  </si>
  <si>
    <t>Localization: Ciliary associated gene; Nuclear speckles; Cell Junctions</t>
  </si>
  <si>
    <t>📍 Gene Localization in the Cilium
CCDC85C
Localized to: Ciliary associated gene, Nuclear speckles, Cell Junctions
✅ Highlighted and zoomed on the diagram
💡 Tip: You can click on compartments in the diagram to explore, or zoom using the controls.</t>
  </si>
  <si>
    <t>D009</t>
  </si>
  <si>
    <t>Where is DRC11 localized?</t>
  </si>
  <si>
    <t>📍 Gene Localization in the Cilium
DRC11
Localized to: cilia
✅ Highlighted and zoomed on the diagram
💡 Tip: You can click on compartments in the diagram to explore, or zoom using the controls.</t>
  </si>
  <si>
    <t>D010</t>
  </si>
  <si>
    <t>Where is NOTCH3 localized?</t>
  </si>
  <si>
    <t>Localization: cilia; cytosol; nucleus</t>
  </si>
  <si>
    <t>📍 Gene Localization in the Cilium
NOTCH3
Localized to: cilia, cytosol, nucleus
✅ Highlighted and zoomed on the diagram
💡 Tip: You can click on compartments in the diagram to explore, or zoom using the controls.</t>
  </si>
  <si>
    <t>D011</t>
  </si>
  <si>
    <t>Where is CIROZ localized?</t>
  </si>
  <si>
    <t>Localization: Ciliary associated gene</t>
  </si>
  <si>
    <t>📍 Gene Localization in the Cilium
CIROZ
Localized to: Ciliary associated gene
✅ Highlighted and zoomed on the diagram
💡 Tip: You can click on compartments in the diagram to explore, or zoom using the controls.</t>
  </si>
  <si>
    <t>D012</t>
  </si>
  <si>
    <t>Where is PGS1 localized?</t>
  </si>
  <si>
    <t>Localization: flagella; lysosomes; mitochondria</t>
  </si>
  <si>
    <t>📍 Gene Localization in the Cilium
PGS1
Localized to: flagella, lysosomes, mitochondria
ℹ️ Localization known but not mappable to specific compartment — full view shown
💡 Tip: You can click on compartments in the diagram to explore, or zoom using the controls.</t>
  </si>
  <si>
    <t>D013</t>
  </si>
  <si>
    <t>Where is ADH1A localized?</t>
  </si>
  <si>
    <t>Localization: cilia; cytosol; transition zone</t>
  </si>
  <si>
    <t>📍 Gene Localization in the Cilium
ADH1A
Localized to: cilia, cytosol, transition zone
✅ Highlighted and zoomed on the diagram
💡 Tip: You can click on compartments in the diagram to explore, or zoom using the controls.</t>
  </si>
  <si>
    <t>D014</t>
  </si>
  <si>
    <t>Where is CCDC28B localized?</t>
  </si>
  <si>
    <t>Localization: basal body; centrosome</t>
  </si>
  <si>
    <t>📍 Gene Localization in the Cilium
CCDC28B
Localized to: basal body, centrosome
✅ Highlighted and zoomed on the diagram
💡 Tip: You can click on compartments in the diagram to explore, or zoom using the controls.</t>
  </si>
  <si>
    <t>D015</t>
  </si>
  <si>
    <t>Where is AAAS localized?</t>
  </si>
  <si>
    <t>Localization: centrosome; flagella; nucleus</t>
  </si>
  <si>
    <t>📍 Gene Localization in the Cilium
AAAS
Localized to: centrosome, flagella, nucleus
✅ Highlighted and zoomed on the diagram
💡 Tip: You can click on compartments in the diagram to explore, or zoom using the controls.</t>
  </si>
  <si>
    <t>D016</t>
  </si>
  <si>
    <t>Where is PIERCE1 localized?</t>
  </si>
  <si>
    <t>Localization: basal body</t>
  </si>
  <si>
    <t>📍 Gene Localization in the Cilium
PIERCE1
Localized to: basal body
✅ Highlighted and zoomed on the diagram
💡 Tip: You can click on compartments in the diagram to explore, or zoom using the controls.</t>
  </si>
  <si>
    <t>D017</t>
  </si>
  <si>
    <t>Where is SSRP1 localized?</t>
  </si>
  <si>
    <t>Localization: cilia associated gene</t>
  </si>
  <si>
    <t>📍 Gene Localization in the Cilium
SSRP1
Localized to: cilia associated gene
✅ Highlighted and zoomed on the diagram
💡 Tip: You can click on compartments in the diagram to explore, or zoom using the controls.</t>
  </si>
  <si>
    <t>D018</t>
  </si>
  <si>
    <t>Where is SIX3 localized?</t>
  </si>
  <si>
    <t>📍 Gene Localization in the Cilium
SIX3
Localized to: cilia associated gene, nucleus
✅ Highlighted and zoomed on the diagram
💡 Tip: You can click on compartments in the diagram to explore, or zoom using the controls.</t>
  </si>
  <si>
    <t>D019</t>
  </si>
  <si>
    <t>Where is CATSPER3 localized?</t>
  </si>
  <si>
    <t>Localization: flagella</t>
  </si>
  <si>
    <t>📍 Gene Localization in the Cilium
CATSPER3
Localized to: flagella
ℹ️ Localization known but not mappable to specific compartment — full view shown
💡 Tip: You can click on compartments in the diagram to explore, or zoom using the controls.</t>
  </si>
  <si>
    <t>D020</t>
  </si>
  <si>
    <t>Where is TMEM237 localized?</t>
  </si>
  <si>
    <t>Localization: basal body; cilia; transition zone</t>
  </si>
  <si>
    <t>📍 Gene Localization in the Cilium
TMEM237
Localized to: basal body, cilia, transition zone
✅ Highlighted and zoomed on the diagram
💡 Tip: You can click on compartments in the diagram to explore, or zoom using the controls.</t>
  </si>
  <si>
    <t>D021</t>
  </si>
  <si>
    <t>Where is DVL2 localized?</t>
  </si>
  <si>
    <t>Localization: basal body; cytosol; nucleus</t>
  </si>
  <si>
    <t>📍 Gene Localization in the Cilium
DVL2
Localized to: basal body, cytosol, nucleus
✅ Highlighted and zoomed on the diagram
💡 Tip: You can click on compartments in the diagram to explore, or zoom using the controls.</t>
  </si>
  <si>
    <t>D022</t>
  </si>
  <si>
    <t>Where is FOXJ1 localized?</t>
  </si>
  <si>
    <t>📍 Gene Localization in the Cilium
FOXJ1
Localized to: cilia associated gene, nucleus
✅ Highlighted and zoomed on the diagram
💡 Tip: You can click on compartments in the diagram to explore, or zoom using the controls.</t>
  </si>
  <si>
    <t>D023</t>
  </si>
  <si>
    <t>Where is CEP57 localized?</t>
  </si>
  <si>
    <t>Localization: centriolar satellites; centrosome; cilia associated gene; cytosol</t>
  </si>
  <si>
    <t>📍 Gene Localization in the Cilium
CEP57
Localized to: centriolar satellites, centrosome, cilia associated gene, cytosol
✅ Highlighted and zoomed on the diagram
💡 Tip: You can click on compartments in the diagram to explore, or zoom using the controls.</t>
  </si>
  <si>
    <t>D024</t>
  </si>
  <si>
    <t>Where is TRIM32 localized?</t>
  </si>
  <si>
    <t>📍 Gene Localization in the Cilium
TRIM32
Localized to: basal body, cytosol, nucleus
✅ Highlighted and zoomed on the diagram
💡 Tip: You can click on compartments in the diagram to explore, or zoom using the controls.</t>
  </si>
  <si>
    <t>D025</t>
  </si>
  <si>
    <t>Where is ATG16L1 localized?</t>
  </si>
  <si>
    <t>📍 Gene Localization in the Cilium
ATG16L1
Localized to: cilia
✅ Highlighted and zoomed on the diagram
💡 Tip: You can click on compartments in the diagram to explore, or zoom using the controls.</t>
  </si>
  <si>
    <t>D026</t>
  </si>
  <si>
    <t>Where is GPR158 localized?</t>
  </si>
  <si>
    <t>📍 Gene Localization in the Cilium
GPR158
Localized to: cilia
✅ Highlighted and zoomed on the diagram
💡 Tip: You can click on compartments in the diagram to explore, or zoom using the controls.</t>
  </si>
  <si>
    <t>D027</t>
  </si>
  <si>
    <t>Where is WNT5A localized?</t>
  </si>
  <si>
    <t>Localization: cilia associated gene; microtubules</t>
  </si>
  <si>
    <t>📍 Gene Localization in the Cilium
WNT5A
Localized to: cilia associated gene, microtubules
✅ Highlighted and zoomed on the diagram
💡 Tip: You can click on compartments in the diagram to explore, or zoom using the controls.</t>
  </si>
  <si>
    <t>D028</t>
  </si>
  <si>
    <t>Where is TTLL9 localized?</t>
  </si>
  <si>
    <t>Localization: basal body; cilia</t>
  </si>
  <si>
    <t>📍 Gene Localization in the Cilium
TTLL9
Localized to: basal body, cilia
✅ Highlighted and zoomed on the diagram
💡 Tip: You can click on compartments in the diagram to explore, or zoom using the controls.</t>
  </si>
  <si>
    <t>D029</t>
  </si>
  <si>
    <t>Where is MANF localized?</t>
  </si>
  <si>
    <t>Localization: cilia associated gene; endoplasmic reticulum; nucleus</t>
  </si>
  <si>
    <t>📍 Gene Localization in the Cilium
MANF
Localized to: cilia associated gene, endoplasmic reticulum, nucleus
✅ Highlighted and zoomed on the diagram
💡 Tip: You can click on compartments in the diagram to explore, or zoom using the controls.</t>
  </si>
  <si>
    <t>D030</t>
  </si>
  <si>
    <t>Where is COBL localized?</t>
  </si>
  <si>
    <t>📍 Gene Localization in the Cilium
COBL
Localized to: cilia
✅ Highlighted and zoomed on the diagram
💡 Tip: You can click on compartments in the diagram to explore, or zoom using the controls.</t>
  </si>
  <si>
    <t>D031</t>
  </si>
  <si>
    <t>Where is ACOT7 localized?</t>
  </si>
  <si>
    <t>📍 Gene Localization in the Cilium
ACOT7
Localized to: cilia associated gene
✅ Highlighted and zoomed on the diagram
💡 Tip: You can click on compartments in the diagram to explore, or zoom using the controls.</t>
  </si>
  <si>
    <t>D032</t>
  </si>
  <si>
    <t>Where is ITGA8 localized?</t>
  </si>
  <si>
    <t>📍 Gene Localization in the Cilium
ITGA8
Localized to: cilia
✅ Highlighted and zoomed on the diagram
💡 Tip: You can click on compartments in the diagram to explore, or zoom using the controls.</t>
  </si>
  <si>
    <t>D033</t>
  </si>
  <si>
    <t>Where is WDR5 localized?</t>
  </si>
  <si>
    <t>Localization: cilia; nucleus</t>
  </si>
  <si>
    <t>📍 Gene Localization in the Cilium
WDR5
Localized to: cilia, nucleus
✅ Highlighted and zoomed on the diagram
💡 Tip: You can click on compartments in the diagram to explore, or zoom using the controls.</t>
  </si>
  <si>
    <t>D034</t>
  </si>
  <si>
    <t>Where is STIL localized?</t>
  </si>
  <si>
    <t>Localization: basal body; centrosome; cytosol; nucleoplasm</t>
  </si>
  <si>
    <t>📍 Gene Localization in the Cilium
STIL
Localized to: basal body, centrosome, cytosol, nucleoplasm
✅ Highlighted and zoomed on the diagram
💡 Tip: You can click on compartments in the diagram to explore, or zoom using the controls.</t>
  </si>
  <si>
    <t>D035</t>
  </si>
  <si>
    <t>Where is SPMIP11 localized?</t>
  </si>
  <si>
    <t>📍 Gene Localization in the Cilium
SPMIP11
Localized to: flagella
ℹ️ Localization known but not mappable to specific compartment — full view shown
💡 Tip: You can click on compartments in the diagram to explore, or zoom using the controls.</t>
  </si>
  <si>
    <t>D036</t>
  </si>
  <si>
    <t>Where is PUM1 localized?</t>
  </si>
  <si>
    <t>Localization: cilia associated gene; cytosol; p-body</t>
  </si>
  <si>
    <t>📍 Gene Localization in the Cilium
PUM1
Localized to: cilia associated gene, cytosol, p-body
✅ Highlighted and zoomed on the diagram
💡 Tip: You can click on compartments in the diagram to explore, or zoom using the controls.</t>
  </si>
  <si>
    <t>D037</t>
  </si>
  <si>
    <t>Where is CFAP73 localized?</t>
  </si>
  <si>
    <t>Localization: cilia; nucleoli fibrillar center; nucleoplasm; vesicles</t>
  </si>
  <si>
    <t>📍 Gene Localization in the Cilium
CFAP73
Localized to: cilia, nucleoli fibrillar center, nucleoplasm, vesicles
✅ Highlighted and zoomed on the diagram
💡 Tip: You can click on compartments in the diagram to explore, or zoom using the controls.</t>
  </si>
  <si>
    <t>D038</t>
  </si>
  <si>
    <t>Where is SIRT3 localized?</t>
  </si>
  <si>
    <t>📍 Gene Localization in the Cilium
SIRT3
Localized to: cilia associated gene
✅ Highlighted and zoomed on the diagram
💡 Tip: You can click on compartments in the diagram to explore, or zoom using the controls.</t>
  </si>
  <si>
    <t>D039</t>
  </si>
  <si>
    <t>Where is EPHA4 localized?</t>
  </si>
  <si>
    <t>📍 Gene Localization in the Cilium
EPHA4
Localized to: cilia
✅ Highlighted and zoomed on the diagram
💡 Tip: You can click on compartments in the diagram to explore, or zoom using the controls.</t>
  </si>
  <si>
    <t>D040</t>
  </si>
  <si>
    <t>Where is PRCD localized?</t>
  </si>
  <si>
    <t>📍 Gene Localization in the Cilium
PRCD
Localized to: cilia associated gene
✅ Highlighted and zoomed on the diagram
💡 Tip: You can click on compartments in the diagram to explore, or zoom using the controls.</t>
  </si>
  <si>
    <t>D041</t>
  </si>
  <si>
    <t>Where is SUGCT localized?</t>
  </si>
  <si>
    <t>Localization: cilia; mitochondria</t>
  </si>
  <si>
    <t>📍 Gene Localization in the Cilium
SUGCT
Localized to: cilia, mitochondria
✅ Highlighted and zoomed on the diagram
💡 Tip: You can click on compartments in the diagram to explore, or zoom using the controls.</t>
  </si>
  <si>
    <t>D042</t>
  </si>
  <si>
    <t>Where is CFAP418 localized?</t>
  </si>
  <si>
    <t>📍 Gene Localization in the Cilium
CFAP418
Localized to: basal body
✅ Highlighted and zoomed on the diagram
💡 Tip: You can click on compartments in the diagram to explore, or zoom using the controls.</t>
  </si>
  <si>
    <t>D043</t>
  </si>
  <si>
    <t>Where is TCEA2 localized?</t>
  </si>
  <si>
    <t>Localization: centrosome; cilia; nucleus</t>
  </si>
  <si>
    <t>📍 Gene Localization in the Cilium
TCEA2
Localized to: centrosome, cilia, nucleus
✅ Highlighted and zoomed on the diagram
💡 Tip: You can click on compartments in the diagram to explore, or zoom using the controls.</t>
  </si>
  <si>
    <t>D044</t>
  </si>
  <si>
    <t>Where is RAPGEF3 localized?</t>
  </si>
  <si>
    <t>Localization: cilia; microtubules</t>
  </si>
  <si>
    <t>📍 Gene Localization in the Cilium
RAPGEF3
Localized to: cilia, microtubules
✅ Highlighted and zoomed on the diagram
💡 Tip: You can click on compartments in the diagram to explore, or zoom using the controls.</t>
  </si>
  <si>
    <t>D045</t>
  </si>
  <si>
    <t>Where is HMGB4 localized?</t>
  </si>
  <si>
    <t>📍 Gene Localization in the Cilium
HMGB4
Localized to: cilia associated gene
✅ Highlighted and zoomed on the diagram
💡 Tip: You can click on compartments in the diagram to explore, or zoom using the controls.</t>
  </si>
  <si>
    <t>D046</t>
  </si>
  <si>
    <t>Where is CATSPERG localized?</t>
  </si>
  <si>
    <t>Localization: flagella; lysosomes</t>
  </si>
  <si>
    <t>📍 Gene Localization in the Cilium
CATSPERG
Localized to: flagella, lysosomes
ℹ️ Localization known but not mappable to specific compartment — full view shown
💡 Tip: You can click on compartments in the diagram to explore, or zoom using the controls.</t>
  </si>
  <si>
    <t>D047</t>
  </si>
  <si>
    <t>Where is NUDCD2 localized?</t>
  </si>
  <si>
    <t>📍 Gene Localization in the Cilium
NUDCD2
Localized to: basal body
✅ Highlighted and zoomed on the diagram
💡 Tip: You can click on compartments in the diagram to explore, or zoom using the controls.</t>
  </si>
  <si>
    <t>98.8–100.0</t>
  </si>
  <si>
    <t>D048</t>
  </si>
  <si>
    <t>Where is CRHR1 localized?</t>
  </si>
  <si>
    <t>📍 Gene Localization in the Cilium
CRHR1
Localized to: cilia associated gene
✅ Highlighted and zoomed on the diagram
💡 Tip: You can click on compartments in the diagram to explore, or zoom using the controls.</t>
  </si>
  <si>
    <t>D049</t>
  </si>
  <si>
    <t>Where is CFAP77 localized?</t>
  </si>
  <si>
    <t>📍 Gene Localization in the Cilium
CFAP77
Localized to: cilia
✅ Highlighted and zoomed on the diagram
💡 Tip: You can click on compartments in the diagram to explore, or zoom using the controls.</t>
  </si>
  <si>
    <t>D050</t>
  </si>
  <si>
    <t>Where is STPG2 localized?</t>
  </si>
  <si>
    <t>📍 Gene Localization in the Cilium
STPG2
Localized to: flagella
ℹ️ Localization known but not mappable to specific compartment — full view shown
💡 Tip: You can click on compartments in the diagram to explore, or zoom using the controls.</t>
  </si>
  <si>
    <t>D051</t>
  </si>
  <si>
    <t>Where is IKBKG localized?</t>
  </si>
  <si>
    <t>Localization: cilia associated gene; cytosol</t>
  </si>
  <si>
    <t>📍 Gene Localization in the Cilium
IKBKG
Localized to: cilia associated gene, cytosol
✅ Highlighted and zoomed on the diagram
💡 Tip: You can click on compartments in the diagram to explore, or zoom using the controls.</t>
  </si>
  <si>
    <t>D052</t>
  </si>
  <si>
    <t>Where is RBX1 localized?</t>
  </si>
  <si>
    <t>Localization: Ciliary associated gene; Nucleoplasm</t>
  </si>
  <si>
    <t>📍 Gene Localization in the Cilium
RBX1
Localized to: Ciliary associated gene, Nucleoplasm
✅ Highlighted and zoomed on the diagram
💡 Tip: You can click on compartments in the diagram to explore, or zoom using the controls.</t>
  </si>
  <si>
    <t>D053</t>
  </si>
  <si>
    <t>Where is NPHP1 localized?</t>
  </si>
  <si>
    <t>📍 Gene Localization in the Cilium
NPHP1
Localized to: basal body
✅ Highlighted and zoomed on the diagram
💡 Tip: You can click on compartments in the diagram to explore, or zoom using the controls.</t>
  </si>
  <si>
    <t>D054</t>
  </si>
  <si>
    <t>Where is MYO5C localized?</t>
  </si>
  <si>
    <t>Localization: basal body; Nucleoplasm; Cytosol</t>
  </si>
  <si>
    <t>📍 Gene Localization in the Cilium
MYO5C
Localized to: basal body, Nucleoplasm, Cytosol
✅ Highlighted and zoomed on the diagram
💡 Tip: You can click on compartments in the diagram to explore, or zoom using the controls.</t>
  </si>
  <si>
    <t>D055</t>
  </si>
  <si>
    <t>Where is CLCN4 localized?</t>
  </si>
  <si>
    <t>📍 Gene Localization in the Cilium
CLCN4
Localized to: basal body, cilia
✅ Highlighted and zoomed on the diagram
💡 Tip: You can click on compartments in the diagram to explore, or zoom using the controls.</t>
  </si>
  <si>
    <t>D056</t>
  </si>
  <si>
    <t>Where is RP9 localized?</t>
  </si>
  <si>
    <t>📍 Gene Localization in the Cilium
RP9
Localized to: cilia associated gene, nucleus
✅ Highlighted and zoomed on the diagram
💡 Tip: You can click on compartments in the diagram to explore, or zoom using the controls.</t>
  </si>
  <si>
    <t>D057</t>
  </si>
  <si>
    <t>Where is DRD1 localized?</t>
  </si>
  <si>
    <t>Localization: basal body; cilia; nucleus</t>
  </si>
  <si>
    <t>📍 Gene Localization in the Cilium
DRD1
Localized to: basal body, cilia, nucleus
✅ Highlighted and zoomed on the diagram
💡 Tip: You can click on compartments in the diagram to explore, or zoom using the controls.</t>
  </si>
  <si>
    <t>D058</t>
  </si>
  <si>
    <t>Where is MKS1 localized?</t>
  </si>
  <si>
    <t>Localization: centrosome; cilia</t>
  </si>
  <si>
    <t>📍 Gene Localization in the Cilium
MKS1
Localized to: centrosome, cilia
✅ Highlighted and zoomed on the diagram
💡 Tip: You can click on compartments in the diagram to explore, or zoom using the controls.</t>
  </si>
  <si>
    <t>D059</t>
  </si>
  <si>
    <t>Where is CDC14B localized?</t>
  </si>
  <si>
    <t>Localization: Ciliary associated gene; Nucleoplasm; Cell Junctions; Cytosol</t>
  </si>
  <si>
    <t>📍 Gene Localization in the Cilium
CDC14B
Localized to: Ciliary associated gene, Nucleoplasm, Cell Junctions, Cytosol
✅ Highlighted and zoomed on the diagram
💡 Tip: You can click on compartments in the diagram to explore, or zoom using the controls.</t>
  </si>
  <si>
    <t>D060</t>
  </si>
  <si>
    <t>Where is MYO15A localized?</t>
  </si>
  <si>
    <t>Localization: cilia; ciliary tip</t>
  </si>
  <si>
    <t>📍 Gene Localization in the Cilium
MYO15A
Localized to: cilia, ciliary tip
✅ Highlighted and zoomed on the diagram
💡 Tip: You can click on compartments in the diagram to explore, or zoom using the controls.</t>
  </si>
  <si>
    <t>E001</t>
  </si>
  <si>
    <t>Which ciliopathies are associated with CDK10?</t>
  </si>
  <si>
    <t>Ciliopathies: STAR Syndrome</t>
  </si>
  <si>
    <t>CDK10 🥇 Gold Standard
CDK10 is associated with 1 disease in CiliaHub:
STAR Syndrome (Primary ciliopathy)</t>
  </si>
  <si>
    <t>Scorer false positive: All expected ciliopathies (STAR Syndrome) are correctly returned. Category/classification labels in response were misidentified as extra diseases by regex.</t>
  </si>
  <si>
    <t>E002</t>
  </si>
  <si>
    <t>Which ciliopathies are associated with BBS9?</t>
  </si>
  <si>
    <t>Ciliopathies: Bardet-Biedl Syndrome</t>
  </si>
  <si>
    <t>BBS9 🥇 Gold Standard
BBS9 is associated with 1 disease in CiliaHub:
Bardet-Biedl Syndrome (Primary ciliopathy)</t>
  </si>
  <si>
    <t>Correctly returns Bardet-Biedl Syndrome for BBS9.</t>
  </si>
  <si>
    <t>E003</t>
  </si>
  <si>
    <t>Which ciliopathies are associated with POC1A?</t>
  </si>
  <si>
    <t>Ciliopathies: SOFT Syndrome</t>
  </si>
  <si>
    <t>POC1A 🥇 Gold Standard
POC1A is associated with 1 disease in CiliaHub:
SOFT Syndrome (Primary ciliopathy)</t>
  </si>
  <si>
    <t>Scorer false positive: All expected ciliopathies (SOFT Syndrome) are correctly returned.</t>
  </si>
  <si>
    <t>E004</t>
  </si>
  <si>
    <t>Which ciliopathies are associated with PRKACA?</t>
  </si>
  <si>
    <t>Ciliopathies: Cardioacrofacial Dysplasia 1; Ellis-van Creveld Syndrome; Skeletal Ciliopathy</t>
  </si>
  <si>
    <t>PRKACA 🥇 Gold Standard
PRKACA is associated with 3 diseases in CiliaHub:
Cardioacrofacial Dysplasia 1 (Primary Ciliopathies; Tissue-restricted ciliopathy)
Ellis-van Creveld Syndrome (Primary Ciliopathies; Tissue-restricted ciliopathy)
Skeletal Ciliopathy (Tissue-restricted Ciliopathies; Primary Ciliopathies; Motile ciliopathy)</t>
  </si>
  <si>
    <t>Scorer false positive: All expected ciliopathies (Cardioacrofacial Dysplasia 1, Ellis-van Creveld Syndrome, Skeletal Ciliopathy) are correctly returned.</t>
  </si>
  <si>
    <t>E005</t>
  </si>
  <si>
    <t>Which ciliopathies are associated with ARL13B?</t>
  </si>
  <si>
    <t>Ciliopathies: Joubert Syndrome</t>
  </si>
  <si>
    <t>ARL13B 🥇 Gold Standard
ARL13B is associated with 1 disease in CiliaHub:
Joubert Syndrome (Primary ciliopathy)</t>
  </si>
  <si>
    <t>Scorer false positive: All expected ciliopathies (Joubert Syndrome) are correctly returned.</t>
  </si>
  <si>
    <t>E006</t>
  </si>
  <si>
    <t>Which ciliopathies are associated with ZRSR2?</t>
  </si>
  <si>
    <t>Ciliopathies: Orofaciodigital Syndrome</t>
  </si>
  <si>
    <t>ZRSR2 🥇 Gold Standard
ZRSR2 is associated with 1 disease in CiliaHub:
Orofaciodigital Syndrome (Primary ciliopathy)</t>
  </si>
  <si>
    <t>Scorer false positive: All expected ciliopathies (Orofaciodigital Syndrome) are correctly returned.</t>
  </si>
  <si>
    <t>E007</t>
  </si>
  <si>
    <t>Which ciliopathies are associated with TTLL11?</t>
  </si>
  <si>
    <t>Ciliopathies: Adolescent Idiopathic Scoliosis</t>
  </si>
  <si>
    <t>TTLL11 🥇 Gold Standard
TTLL11 is associated with 1 disease in CiliaHub:
Adolescent Idiopathic Scoliosis (Tissue-restricted ciliopathy)</t>
  </si>
  <si>
    <t>Scorer false positive: All expected ciliopathies (Adolescent Idiopathic Scoliosis) are correctly returned.</t>
  </si>
  <si>
    <t>E008</t>
  </si>
  <si>
    <t>Which ciliopathies are associated with PDE6C?</t>
  </si>
  <si>
    <t>Ciliopathies: Cone-Rod Dystrophy</t>
  </si>
  <si>
    <t>PDE6C 🥇 Gold Standard
PDE6C is associated with 1 disease in CiliaHub:
Cone-Rod Dystrophy (Tissue-restricted ciliopathy)</t>
  </si>
  <si>
    <t>Scorer false positive: All expected ciliopathies (Cone-Rod Dystrophy) are correctly returned.</t>
  </si>
  <si>
    <t>E009</t>
  </si>
  <si>
    <t>Which ciliopathies are associated with NME5?</t>
  </si>
  <si>
    <t>Ciliopathies: Primary Ciliary Dyskinesia</t>
  </si>
  <si>
    <t>NME5 🥇 Gold Standard
NME5 is associated with 1 disease in CiliaHub:
Primary Ciliary Dyskinesia (Motile ciliopathy)</t>
  </si>
  <si>
    <t>Correctly returns Primary Ciliary Dyskinesia for NME5.</t>
  </si>
  <si>
    <t>E010</t>
  </si>
  <si>
    <t>Which ciliopathies are associated with TMEM218?</t>
  </si>
  <si>
    <t>Ciliopathies: Joubert Syndrome; Meckel-Gruber Syndrome</t>
  </si>
  <si>
    <t>TMEM218 🥇 Gold Standard
TMEM218 is associated with 2 diseases in CiliaHub:
Joubert Syndrome (Primary Ciliopathies; Tissue-restricted Ciliopathies; secondary, non-ciliary disorder; Motile ciliopathy)
Meckel-Gruber Syndrome (Primary Ciliopathies; Tissue-restricted ciliopathy)</t>
  </si>
  <si>
    <t>Scorer false positive: All expected ciliopathies (Joubert Syndrome, Meckel-Gruber Syndrome) are correctly returned.</t>
  </si>
  <si>
    <t>E011</t>
  </si>
  <si>
    <t>Which ciliopathies are associated with PCNT?</t>
  </si>
  <si>
    <t>Ciliopathies: Biliary Atresia</t>
  </si>
  <si>
    <t>PCNT 🥇 Gold Standard
PCNT is associated with 1 disease in CiliaHub:
Biliary Atresia (Tissue-restricted ciliopathy)</t>
  </si>
  <si>
    <t>Scorer false positive: All expected ciliopathies (Biliary Atresia) are correctly returned.</t>
  </si>
  <si>
    <t>E012</t>
  </si>
  <si>
    <t>Which ciliopathies are associated with CIBAR1?</t>
  </si>
  <si>
    <t>Ciliopathies: Postaxial Polydactyly</t>
  </si>
  <si>
    <t>CIBAR1 🥇 Gold Standard
CIBAR1 is associated with 1 disease in CiliaHub:
Postaxial Polydactyly (Tissue-restricted ciliopathy)</t>
  </si>
  <si>
    <t>Scorer false positive: All expected ciliopathies (Postaxial Polydactyly) are correctly returned.</t>
  </si>
  <si>
    <t>E013</t>
  </si>
  <si>
    <t>Which ciliopathies are associated with WDPCP?</t>
  </si>
  <si>
    <t>WDPCP 🥇 Gold Standard
WDPCP is associated with 1 disease in CiliaHub:
Bardet-Biedl Syndrome (Primary ciliopathy)</t>
  </si>
  <si>
    <t>Scorer false positive: All expected ciliopathies (Bardet-Biedl Syndrome) are correctly returned.</t>
  </si>
  <si>
    <t>E014</t>
  </si>
  <si>
    <t>Which ciliopathies are associated with TSSK1B?</t>
  </si>
  <si>
    <t>Ciliopathies: Male Infertility</t>
  </si>
  <si>
    <t>TSSK1B 🥇 Gold Standard
TSSK1B is associated with 1 disease in CiliaHub:
Male Infertility (Motile ciliopathy)</t>
  </si>
  <si>
    <t>Scorer false positive: All expected ciliopathies (Male Infertility) are correctly returned.</t>
  </si>
  <si>
    <t>E015</t>
  </si>
  <si>
    <t>Which ciliopathies are associated with DRC4?</t>
  </si>
  <si>
    <t>DRC4 🥇 Gold Standard
DRC4 is associated with 1 disease in CiliaHub:
Primary Ciliary Dyskinesia (Motile ciliopathy)</t>
  </si>
  <si>
    <t>Scorer false positive: All expected ciliopathies (Primary Ciliary Dyskinesia) are correctly returned.</t>
  </si>
  <si>
    <t>E016</t>
  </si>
  <si>
    <t>Which ciliopathies are associated with DNAAF6?</t>
  </si>
  <si>
    <t>DNAAF6 🥇 Gold Standard
DNAAF6 is associated with 1 disease in CiliaHub:
Primary Ciliary Dyskinesia (Motile ciliopathy)</t>
  </si>
  <si>
    <t>E017</t>
  </si>
  <si>
    <t>Which ciliopathies are associated with GLI2?</t>
  </si>
  <si>
    <t>Ciliopathies: Holoprosencephaly</t>
  </si>
  <si>
    <t>GLI2 🥇 Gold Standard
GLI2 is associated with 1 disease in CiliaHub:
Holoprosencephaly (Tissue-restricted ciliopathy)</t>
  </si>
  <si>
    <t>Scorer false positive: All expected ciliopathies (Holoprosencephaly) are correctly returned.</t>
  </si>
  <si>
    <t>E018</t>
  </si>
  <si>
    <t>Which ciliopathies are associated with TAS2R38?</t>
  </si>
  <si>
    <t>TAS2R38 🥇 Gold Standard
TAS2R38 is associated with 1 disease in CiliaHub:
Primary Ciliary Dyskinesia (Motile ciliopathy)</t>
  </si>
  <si>
    <t>E019</t>
  </si>
  <si>
    <t>Which ciliopathies are associated with PIK3C2A?</t>
  </si>
  <si>
    <t>Ciliopathies: Oculoskeletodental Syndrome</t>
  </si>
  <si>
    <t>PIK3C2A 🥇 Gold Standard
PIK3C2A is associated with 1 disease in CiliaHub:
Oculoskeletodental Syndrome (Primary ciliopathy)</t>
  </si>
  <si>
    <t>Scorer false positive: All expected ciliopathies (Oculoskeletodental Syndrome) are correctly returned.</t>
  </si>
  <si>
    <t>E020</t>
  </si>
  <si>
    <t>Which ciliopathies are associated with TOPORS?</t>
  </si>
  <si>
    <t>Ciliopathies: Joubert Syndrome; Retinal Dystrophy/Degeneration</t>
  </si>
  <si>
    <t>TOPORS 🥇 Gold Standard
TOPORS is associated with 2 diseases in CiliaHub:
Joubert Syndrome (Primary Ciliopathies; Tissue-restricted Ciliopathies; secondary, non-ciliary disorder; Motile ciliopathy)
Retinal Dystrophy/Degeneration (Tissue-restricted Ciliopathies; Motile Ciliopathies; Primary Ciliopathies; secondary, non-ciliary disorder)</t>
  </si>
  <si>
    <t>Scorer false positive: All expected ciliopathies (Joubert Syndrome, Retinal Dystrophy/Degeneration) are correctly returned.</t>
  </si>
  <si>
    <t>E021</t>
  </si>
  <si>
    <t>Which ciliopathies are associated with IFT122?</t>
  </si>
  <si>
    <t>Ciliopathies: Cranioectodermal Dysplasia (Sensenbrenner); Skeletal Ciliopathy; Weyers Acrofacial Dysostosis</t>
  </si>
  <si>
    <t>IFT122 🥇 Gold Standard
IFT122 is associated with 3 diseases in CiliaHub:
Cranioectodermal Dysplasia (Sensenbrenner) (Primary Ciliopathies; Tissue-restricted Ciliopathies; Motile ciliopathy)
Skeletal Ciliopathy (Tissue-restricted Ciliopathies; Primary Ciliopathies; Motile ciliopathy)
Weyers Acrofacial Dysostosis (Tissue-restricted Ciliopathies; Primary ciliopathy)</t>
  </si>
  <si>
    <t>Scorer false positive: All expected ciliopathies (Cranioectodermal Dysplasia (Sensenbrenner), Skeletal Ciliopathy, Weyers Acrofacial Dysostosis) are correctly returned.</t>
  </si>
  <si>
    <t>E022</t>
  </si>
  <si>
    <t>Which ciliopathies are associated with CCNO?</t>
  </si>
  <si>
    <t>Ciliopathies: Mucociliary Clearance Disorder; Primary Ciliary Dyskinesia</t>
  </si>
  <si>
    <t>CCNO 🥇 Gold Standard
CCNO is associated with 2 diseases in CiliaHub:
Mucociliary Clearance Disorder (Motile Ciliopathies; Primary Ciliopathies; Tissue-restricted ciliopathy)
Primary Ciliary Dyskinesia (Motile Ciliopathies; Tissue-restricted Ciliopathies; Primary ciliopathy)</t>
  </si>
  <si>
    <t>Scorer false positive: All expected ciliopathies (Mucociliary Clearance Disorder, Primary Ciliary Dyskinesia) are correctly returned.</t>
  </si>
  <si>
    <t>E023</t>
  </si>
  <si>
    <t>Which ciliopathies are associated with SCLT1?</t>
  </si>
  <si>
    <t>Ciliopathies: Bardet-Biedl Syndrome; Retinal Dystrophy/Degeneration; Senior-Løken Syndrome</t>
  </si>
  <si>
    <t>SCLT1 🥇 Gold Standard
SCLT1 is associated with 3 diseases in CiliaHub:
Bardet-Biedl Syndrome (Primary Ciliopathies; Tissue-restricted Ciliopathies; Motile ciliopathy)
Retinal Dystrophy/Degeneration (Tissue-restricted Ciliopathies; Motile Ciliopathies; Primary Ciliopathies; secondary, non-ciliary disorder)
Senior-Løken Syndrome (Primary Ciliopathies; Tissue-restricted ciliopathy)</t>
  </si>
  <si>
    <t>Scorer false positive: All expected ciliopathies (Bardet-Biedl Syndrome, Retinal Dystrophy/Degeneration, Senior-L?ken Syndrome) are correctly returned.</t>
  </si>
  <si>
    <t>E024</t>
  </si>
  <si>
    <t>Which ciliopathies are associated with ASPM?</t>
  </si>
  <si>
    <t>Ciliopathies: Microcephaly</t>
  </si>
  <si>
    <t>ASPM 🥈 Cilia-Associated
ASPM is associated with 1 disease in CiliaHub:
Microcephaly (Tissue-restricted ciliopathy)</t>
  </si>
  <si>
    <t>Scorer false positive: All expected ciliopathies (Microcephaly) are correctly returned.</t>
  </si>
  <si>
    <t>E025</t>
  </si>
  <si>
    <t>Which ciliopathies are associated with FLNB?</t>
  </si>
  <si>
    <t>Ciliopathies: Visceral Heterotaxy / Situs Inversus</t>
  </si>
  <si>
    <t>FLNB 🥇 Gold Standard
FLNB is associated with 1 disease in CiliaHub:
Visceral Heterotaxy / Situs Inversus (Motile ciliopathy)</t>
  </si>
  <si>
    <t>Scorer false positive: All expected ciliopathies (Visceral Heterotaxy / Situs Inversus) are correctly returned.</t>
  </si>
  <si>
    <t>E026</t>
  </si>
  <si>
    <t>Which ciliopathies are associated with DYNC2I2?</t>
  </si>
  <si>
    <t>Ciliopathies: Cone-Rod Dystrophy; Short-Rib Thoracic Dysplasia</t>
  </si>
  <si>
    <t>DYNC2I2 🥇 Gold Standard
DYNC2I2 is associated with 2 diseases in CiliaHub:
Cone-Rod Dystrophy (Tissue-restricted Ciliopathies; Motile Ciliopathies; Primary ciliopathy)
Short-Rib Thoracic Dysplasia (Primary Ciliopathies; Tissue-restricted Ciliopathies; Motile ciliopathy)</t>
  </si>
  <si>
    <t>Scorer false positive: All expected ciliopathies (Cone-Rod Dystrophy, Short-Rib Thoracic Dysplasia) are correctly returned.</t>
  </si>
  <si>
    <t>E027</t>
  </si>
  <si>
    <t>Which ciliopathies are associated with BBS10?</t>
  </si>
  <si>
    <t>BBS10 🥇 Gold Standard
BBS10 is associated with 1 disease in CiliaHub:
Bardet-Biedl Syndrome (Primary ciliopathy)</t>
  </si>
  <si>
    <t>E028</t>
  </si>
  <si>
    <t>Which ciliopathies are associated with BBS4?</t>
  </si>
  <si>
    <t>BBS4 🥇 Gold Standard
BBS4 is associated with 1 disease in CiliaHub:
Bardet-Biedl Syndrome (Primary ciliopathy)</t>
  </si>
  <si>
    <t>E029</t>
  </si>
  <si>
    <t>Which ciliopathies are associated with TMEM237?</t>
  </si>
  <si>
    <t>TMEM237 🥇 Gold Standard
TMEM237 is associated with 1 disease in CiliaHub:
Joubert Syndrome (Primary ciliopathy)</t>
  </si>
  <si>
    <t>E030</t>
  </si>
  <si>
    <t>Which ciliopathies are associated with EYS?</t>
  </si>
  <si>
    <t>Ciliopathies: Retinal Dystrophy/Degeneration</t>
  </si>
  <si>
    <t>EYS 🥇 Gold Standard
EYS is associated with 1 disease in CiliaHub:
Retinal Dystrophy/Degeneration (Tissue-restricted ciliopathy)</t>
  </si>
  <si>
    <t>Scorer false positive: All expected ciliopathies (Retinal Dystrophy/Degeneration) are correctly returned.</t>
  </si>
  <si>
    <t>E031</t>
  </si>
  <si>
    <t>Which ciliopathies are associated with TUBGCP6?</t>
  </si>
  <si>
    <t>TUBGCP6 🥇 Gold Standard
TUBGCP6 is associated with 1 disease in CiliaHub:
Microcephaly (Tissue-restricted ciliopathy)</t>
  </si>
  <si>
    <t>E032</t>
  </si>
  <si>
    <t>Which ciliopathies are associated with ALMS1?</t>
  </si>
  <si>
    <t>Ciliopathies: Alström Syndrome</t>
  </si>
  <si>
    <t>ALMS1 🥇 Gold Standard
ALMS1 is associated with 1 disease in CiliaHub:
Alström Syndrome (Primary ciliopathy)</t>
  </si>
  <si>
    <t>Scorer false positive: All expected ciliopathies (Alstr?m Syndrome) are correctly returned.</t>
  </si>
  <si>
    <t>E033</t>
  </si>
  <si>
    <t>Which ciliopathies are associated with CNGA3?</t>
  </si>
  <si>
    <t>Ciliopathies: Leber Congenital Amaurosis</t>
  </si>
  <si>
    <t>CNGA3 🥇 Gold Standard
CNGA3 is associated with 1 disease in CiliaHub:
Leber Congenital Amaurosis (Tissue-restricted ciliopathy)</t>
  </si>
  <si>
    <t>Scorer false positive: All expected ciliopathies (Leber Congenital Amaurosis) are correctly returned.</t>
  </si>
  <si>
    <t>E034</t>
  </si>
  <si>
    <t>Which ciliopathies are associated with GPC4?</t>
  </si>
  <si>
    <t>Ciliopathies: Simpson-Golabi-Behmel Syndrome</t>
  </si>
  <si>
    <t>GPC4 🥇 Gold Standard
GPC4 is associated with 1 disease in CiliaHub:
Simpson-Golabi-Behmel Syndrome (Primary ciliopathy)</t>
  </si>
  <si>
    <t>Scorer false positive: All expected ciliopathies (Simpson-Golabi-Behmel Syndrome) are correctly returned.</t>
  </si>
  <si>
    <t>E035</t>
  </si>
  <si>
    <t>Which ciliopathies are associated with CRMP1?</t>
  </si>
  <si>
    <t>Ciliopathies: Ellis-van Creveld Syndrome</t>
  </si>
  <si>
    <t>CRMP1 🥈 Cilia-Associated
CRMP1 is associated with 1 disease in CiliaHub:
Ellis-van Creveld Syndrome (Primary ciliopathy)</t>
  </si>
  <si>
    <t>Correctly returns Ellis-van Creveld Syndrome for CRMP1.</t>
  </si>
  <si>
    <t>E036</t>
  </si>
  <si>
    <t>Which ciliopathies are associated with DNAH7?</t>
  </si>
  <si>
    <t>DNAH7 🥇 Gold Standard
DNAH7 is associated with 1 disease in CiliaHub:
Primary Ciliary Dyskinesia (Motile ciliopathy)</t>
  </si>
  <si>
    <t>E037</t>
  </si>
  <si>
    <t>Which ciliopathies are associated with EVC?</t>
  </si>
  <si>
    <t>Ciliopathies: Ellis-van Creveld Syndrome; Short-Rib Thoracic Dysplasia; Skeletal Ciliopathy; Weyers Acrofacial Dysostosis</t>
  </si>
  <si>
    <t>EVC 🥇 Gold Standard
EVC is associated with 4 diseases in CiliaHub:
Ellis-van Creveld Syndrome (Primary Ciliopathies; Tissue-restricted ciliopathy)
Short-Rib Thoracic Dysplasia (Primary Ciliopathies; Tissue-restricted Ciliopathies; Motile ciliopathy)
Skeletal Ciliopathy (Tissue-restricted Ciliopathies; Primary Ciliopathies; Motile ciliopathy)
Weyers Acrofacial Dysostosis (Tissue-restricted Ciliopathies; Primary ciliopathy)</t>
  </si>
  <si>
    <t>Scorer false positive: All expected ciliopathies (Ellis-van Creveld Syndrome, Short-Rib Thoracic Dysplasia, Skeletal Ciliopathy, Weyers Acrofacial Dysostosis) are correctly returned.</t>
  </si>
  <si>
    <t>E038</t>
  </si>
  <si>
    <t>Which ciliopathies are associated with RSPH1?</t>
  </si>
  <si>
    <t>RSPH1 🥇 Gold Standard
RSPH1 is associated with 1 disease in CiliaHub:
Primary Ciliary Dyskinesia (Motile ciliopathy)</t>
  </si>
  <si>
    <t>E039</t>
  </si>
  <si>
    <t>Which ciliopathies are associated with LDHC?</t>
  </si>
  <si>
    <t>LDHC 🥇 Gold Standard
LDHC is associated with 1 disease in CiliaHub:
Male Infertility (Motile ciliopathy)</t>
  </si>
  <si>
    <t>E040</t>
  </si>
  <si>
    <t>Which ciliopathies are associated with SPTBN5?</t>
  </si>
  <si>
    <t>Ciliopathies: Nonsyndromic Tetralogy of Fallot</t>
  </si>
  <si>
    <t>SPTBN5 🥇 Gold Standard
SPTBN5 is associated with 1 disease in CiliaHub:
Nonsyndromic Tetralogy of Fallot (Tissue-restricted ciliopathy)</t>
  </si>
  <si>
    <t>Scorer false positive: All expected ciliopathies (Nonsyndromic Tetralogy of Fallot) are correctly returned.</t>
  </si>
  <si>
    <t>F001</t>
  </si>
  <si>
    <t>Which ciliopathies are associated with VPS52?</t>
  </si>
  <si>
    <t>No ciliopathy association</t>
  </si>
  <si>
    <t>VPS52 🥇 Gold Standard
No ciliopathy or disease association is recorded for VPS52 in CiliaHub.</t>
  </si>
  <si>
    <t>F002</t>
  </si>
  <si>
    <t>Which ciliopathies are associated with RFX7?</t>
  </si>
  <si>
    <t>RFX7 🥇 Gold Standard
No ciliopathy or disease association is recorded for RFX7 in CiliaHub.</t>
  </si>
  <si>
    <t>F003</t>
  </si>
  <si>
    <t>Which ciliopathies are associated with CCDC78?</t>
  </si>
  <si>
    <t>CCDC78 🥇 Gold Standard
No ciliopathy or disease association is recorded for CCDC78 in CiliaHub.</t>
  </si>
  <si>
    <t>F004</t>
  </si>
  <si>
    <t>Which ciliopathies are associated with PRDX5?</t>
  </si>
  <si>
    <t>PRDX5 🥇 Gold Standard
No ciliopathy or disease association is recorded for PRDX5 in CiliaHub.</t>
  </si>
  <si>
    <t>F005</t>
  </si>
  <si>
    <t>Which ciliopathies are associated with MNMIP1?</t>
  </si>
  <si>
    <t>MNMIP1 🥇 Gold Standard
No ciliopathy or disease association is recorded for MNMIP1 in CiliaHub.</t>
  </si>
  <si>
    <t>F006</t>
  </si>
  <si>
    <t>Which ciliopathies are associated with FBXO38?</t>
  </si>
  <si>
    <t>FBXO38 🥇 Gold Standard
No ciliopathy or disease association is recorded for FBXO38 in CiliaHub.</t>
  </si>
  <si>
    <t>F007</t>
  </si>
  <si>
    <t>Which ciliopathies are associated with OPN1MW2?</t>
  </si>
  <si>
    <t>OPN1MW2 🥇 Gold Standard
No ciliopathy or disease association is recorded for OPN1MW2 in CiliaHub.</t>
  </si>
  <si>
    <t>F008</t>
  </si>
  <si>
    <t>Which ciliopathies are associated with ENTR1?</t>
  </si>
  <si>
    <t>ENTR1 🥇 Gold Standard
No ciliopathy or disease association is recorded for ENTR1 in CiliaHub.</t>
  </si>
  <si>
    <t>F009</t>
  </si>
  <si>
    <t>Which ciliopathies are associated with KIF4A?</t>
  </si>
  <si>
    <t>KIF4A 🥇 Gold Standard
No ciliopathy or disease association is recorded for KIF4A in CiliaHub.</t>
  </si>
  <si>
    <t>F010</t>
  </si>
  <si>
    <t>Which ciliopathies are associated with SPHK1?</t>
  </si>
  <si>
    <t>SPHK1 🥇 Gold Standard
No ciliopathy or disease association is recorded for SPHK1 in CiliaHub.</t>
  </si>
  <si>
    <t>F011</t>
  </si>
  <si>
    <t>Which ciliopathies are associated with TOM1L2?</t>
  </si>
  <si>
    <t>TOM1L2 🥇 Gold Standard
No ciliopathy or disease association is recorded for TOM1L2 in CiliaHub.</t>
  </si>
  <si>
    <t>F012</t>
  </si>
  <si>
    <t>Which ciliopathies are associated with RGS9BP?</t>
  </si>
  <si>
    <t>RGS9BP 🥇 Gold Standard
No ciliopathy or disease association is recorded for RGS9BP in CiliaHub.</t>
  </si>
  <si>
    <t>F013</t>
  </si>
  <si>
    <t>Which ciliopathies are associated with MAP2K2?</t>
  </si>
  <si>
    <t>MAP2K2 🥇 Gold Standard
No ciliopathy or disease association is recorded for MAP2K2 in CiliaHub.</t>
  </si>
  <si>
    <t>F014</t>
  </si>
  <si>
    <t>Which ciliopathies are associated with SPNS2?</t>
  </si>
  <si>
    <t>SPNS2 🥇 Gold Standard
No ciliopathy or disease association is recorded for SPNS2 in CiliaHub.</t>
  </si>
  <si>
    <t>F015</t>
  </si>
  <si>
    <t>Which ciliopathies are associated with EPHB3?</t>
  </si>
  <si>
    <t>EPHB3 🥇 Gold Standard
No ciliopathy or disease association is recorded for EPHB3 in CiliaHub.</t>
  </si>
  <si>
    <t>F016</t>
  </si>
  <si>
    <t>Which ciliopathies are associated with NEK3?</t>
  </si>
  <si>
    <t>NEK3 🥇 Gold Standard
No ciliopathy or disease association is recorded for NEK3 in CiliaHub.</t>
  </si>
  <si>
    <t>F017</t>
  </si>
  <si>
    <t>Which ciliopathies are associated with UBE2B?</t>
  </si>
  <si>
    <t>UBE2B 🥇 Gold Standard
No ciliopathy or disease association is recorded for UBE2B in CiliaHub.</t>
  </si>
  <si>
    <t>F018</t>
  </si>
  <si>
    <t>Which ciliopathies are associated with TAF8?</t>
  </si>
  <si>
    <t>TAF8 🥇 Gold Standard
No ciliopathy or disease association is recorded for TAF8 in CiliaHub.</t>
  </si>
  <si>
    <t>F019</t>
  </si>
  <si>
    <t>Which ciliopathies are associated with SLC26A3?</t>
  </si>
  <si>
    <t>SLC26A3 🥇 Gold Standard
No ciliopathy or disease association is recorded for SLC26A3 in CiliaHub.</t>
  </si>
  <si>
    <t>F020</t>
  </si>
  <si>
    <t>Which ciliopathies are associated with CNGB1?</t>
  </si>
  <si>
    <t>CNGB1 🥇 Gold Standard
No ciliopathy or disease association is recorded for CNGB1 in CiliaHub.</t>
  </si>
  <si>
    <t>G001</t>
  </si>
  <si>
    <t>List the genes associated with Polycystic Liver Disease</t>
  </si>
  <si>
    <t>5 genes</t>
  </si>
  <si>
    <t>Polycystic Liver Disease (Tissue-restricted ciliopathy)
Found 5 genes associated with Polycystic Liver Disease in CiliaHub:
ALG9, GANAB, HES1, PRKCSH, SEC63
↓ Download CSV (5 genes)</t>
  </si>
  <si>
    <t>G002</t>
  </si>
  <si>
    <t>List the genes associated with Yuksel-Vogel-Bauer Syndrome</t>
  </si>
  <si>
    <t>1 genes</t>
  </si>
  <si>
    <t>Yuksel-Vogel-Bauer Syndrome (Primary ciliopathy)
Found 1 gene associated with Yuksel-Vogel-Bauer Syndrome in CiliaHub:
DLG5
↓ Download CSV (1 gene)</t>
  </si>
  <si>
    <t>G003</t>
  </si>
  <si>
    <t>List the genes associated with Holoprosencephaly</t>
  </si>
  <si>
    <t>11 genes</t>
  </si>
  <si>
    <t>Holoprosencephaly (Tissue-restricted Ciliopathies; secondary, non-ciliary disorder; Primary ciliopathy)
Found 11 genes associated with Holoprosencephaly in CiliaHub:
CDON, DHCR7, GLI2, GPR161, LRP2, PTCH1, SHH, SMC1A, SMC3, SMO, TGIF1
↓ Download CSV (11 genes)</t>
  </si>
  <si>
    <t>G004</t>
  </si>
  <si>
    <t>List the genes associated with COACH Syndrome</t>
  </si>
  <si>
    <t>COACH Syndrome (Primary Ciliopathies; Tissue-restricted ciliopathy)
Found 5 genes associated with COACH Syndrome in CiliaHub:
CC2D2A, CEP290, NPHP3, RPGRIP1L, TMEM67
↓ Download CSV (5 genes)</t>
  </si>
  <si>
    <t>G005</t>
  </si>
  <si>
    <t>List the genes associated with Dandy-Walker Malformation</t>
  </si>
  <si>
    <t>2 genes</t>
  </si>
  <si>
    <t>Dandy-Walker Malformation (Primary ciliopathy)
Found 2 genes associated with Dandy-Walker Malformation in CiliaHub:
EXOC3L2, RAB35
↓ Download CSV (2 genes)</t>
  </si>
  <si>
    <t>G006</t>
  </si>
  <si>
    <t>List the genes associated with Endocrine-Cerebro-Osteodysplasia Syndrome</t>
  </si>
  <si>
    <t>Endocrine-Cerebro-Osteodysplasia Syndrome (Primary Ciliopathies; Tissue-restricted ciliopathy)
Found 1 gene associated with Endocrine-Cerebro-Osteodysplasia Syndrome in CiliaHub:
CILK1
↓ Download CSV (1 gene)</t>
  </si>
  <si>
    <t>G007</t>
  </si>
  <si>
    <t>List the genes associated with Acrocallosal Syndrome</t>
  </si>
  <si>
    <t>Acrocallosal Syndrome (Primary ciliopathy)
Found 2 genes associated with Acrocallosal Syndrome in CiliaHub:
IHH, KIF7
↓ Download CSV (2 genes)</t>
  </si>
  <si>
    <t>G008</t>
  </si>
  <si>
    <t>List the genes associated with CDK20-related Ciliopathy with Midline Brain and Facial Anomalies</t>
  </si>
  <si>
    <t>CDK20-related Ciliopathy with Midline Brain and Facial Anomalies (Primary ciliopathy)
Found 1 gene associated with CDK20-related Ciliopathy with Midline Brain and Facial Anomalies in CiliaHub:
CDK20
↓ Download CSV (1 gene)</t>
  </si>
  <si>
    <t>G009</t>
  </si>
  <si>
    <t>List the genes associated with Neural tube defects with ciliary dysfunction</t>
  </si>
  <si>
    <t>Neural tube defects with ciliary dysfunction (Primary ciliopathy)
Found 1 gene associated with Neural tube defects with ciliary dysfunction in CiliaHub:
TOGARAM1
↓ Download CSV (1 gene)</t>
  </si>
  <si>
    <t>G010</t>
  </si>
  <si>
    <t>List the genes associated with Senior-Løken Syndrome</t>
  </si>
  <si>
    <t>10 genes</t>
  </si>
  <si>
    <t>Senior-Løken Syndrome (Primary Ciliopathies; Tissue-restricted ciliopathy)
Found 10 genes associated with Senior-Løken Syndrome in CiliaHub:
CEP164, CEP290, IFT54, IQCB1, NPHP1, NPHP3, NPHP4, SCLT1, SDCCAG8, WDR19
↓ Download CSV (10 genes)</t>
  </si>
  <si>
    <t>G011</t>
  </si>
  <si>
    <t>List the genes associated with Laurence-Moon Syndrome</t>
  </si>
  <si>
    <t>Laurence-Moon Syndrome (Tissue-restricted ciliopathy)
Found 1 gene associated with Laurence-Moon Syndrome in CiliaHub:
PNPLA6
↓ Download CSV (1 gene)</t>
  </si>
  <si>
    <t>G012</t>
  </si>
  <si>
    <t>List the genes associated with Morbid Obesity and Spermatogenic Failure</t>
  </si>
  <si>
    <t>Morbid Obesity and Spermatogenic Failure (Tissue-restricted Ciliopathies; Motile ciliopathy)
Found 1 gene associated with Morbid Obesity and Spermatogenic Failure in CiliaHub:
CEP19
↓ Download CSV (1 gene)</t>
  </si>
  <si>
    <t>G013</t>
  </si>
  <si>
    <t>List the genes associated with Postaxial Polydactyly</t>
  </si>
  <si>
    <t>Postaxial Polydactyly (Tissue-restricted Ciliopathies; Primary ciliopathy)
Found 5 genes associated with Postaxial Polydactyly in CiliaHub:
CIBAR1, EFCAB7, GLI1, GLI3, IQCE
↓ Download CSV (5 genes)</t>
  </si>
  <si>
    <t>G014</t>
  </si>
  <si>
    <t>List the genes associated with Cornelia de Lange Syndrome</t>
  </si>
  <si>
    <t>7 genes</t>
  </si>
  <si>
    <t>Cornelia de Lange Syndrome (secondary, non-ciliary disorder; Tissue-restricted ciliopathy)
Found 7 genes associated with Cornelia de Lange Syndrome in CiliaHub:
ANKRD11, BRD4, HDAC8, NIPBL, RAD21, SMC1A, SMC3
↓ Download CSV (7 genes)</t>
  </si>
  <si>
    <t>G015</t>
  </si>
  <si>
    <t>List the genes associated with Autism Spectrum Disorder</t>
  </si>
  <si>
    <t>4 genes</t>
  </si>
  <si>
    <t>Autism Spectrum Disorder (secondary, non-ciliary disorder; Primary ciliopathy)
Found 4 genes associated with Autism Spectrum Disorder in CiliaHub:
CEP41, KATNAL2, TAOK1, TAOK2
↓ Download CSV (4 genes)</t>
  </si>
  <si>
    <t>G016</t>
  </si>
  <si>
    <t>List the genes associated with MORM Syndrome</t>
  </si>
  <si>
    <t>MORM Syndrome (Primary Ciliopathies; Tissue-restricted ciliopathy)
Found 1 gene associated with MORM Syndrome in CiliaHub:
INPP5E
↓ Download CSV (1 gene)</t>
  </si>
  <si>
    <t>G017</t>
  </si>
  <si>
    <t>List the genes associated with Complex Lethal Osteochondrodysplasia</t>
  </si>
  <si>
    <t>Complex Lethal Osteochondrodysplasia (Tissue-restricted ciliopathy)
Found 1 gene associated with Complex Lethal Osteochondrodysplasia in CiliaHub:
TAPT1
↓ Download CSV (1 gene)</t>
  </si>
  <si>
    <t>G018</t>
  </si>
  <si>
    <t>List the genes associated with Spondylometaphyseal Dysplasia</t>
  </si>
  <si>
    <t>Spondylometaphyseal Dysplasia (Tissue-restricted ciliopathy)
Found 7 genes associated with Spondylometaphyseal Dysplasia in CiliaHub:
AIFM1, CFAP410, LBR, NFE2L1, PAM16, SGMS2, TRPV4
↓ Download CSV (7 genes)</t>
  </si>
  <si>
    <t>G019</t>
  </si>
  <si>
    <t>List the genes associated with Primary Ciliary Dyskinesia</t>
  </si>
  <si>
    <t>77 genes</t>
  </si>
  <si>
    <t>Primary Ciliary Dyskinesia (Motile Ciliopathies; Tissue-restricted Ciliopathies; Primary ciliopathy)
Found 77 genes associated with Primary Ciliary Dyskinesia in CiliaHub:
AK7, AKNA, BRWD1, CCDC39, CCDC40, CCNO, CFAP221, CFAP298, CFAP300, CFAP46, CFAP47, CFAP52, CFAP54, CFAP57, CFAP74, CLXN, CRHR1, DAW1, DNAAF1, DNAAF11, DNAAF19, DNAAF2, DNAAF3, DNAAF4, DNAAF5, DNAAF6, DNAH1, DNAH11, DNAH14, DNAH5, DNAH7, DNAH8, DNAH9, DNAI1, DNAI2, DNAJB13, DNAL1, DRC1, DRC2, DRC4, DYNLRB2, DZANK1, ECT2L, FOXJ1, GAS2L2, GOLGA3, HYDIN, IFT46, KRT34, LRRC56, MCIDAS, MNS1, NEK10, NME5, NME7, NME8, ODAD1, ODAD2, ODAD3, ODAD4, OFD1, RSPH1, RSPH3, RSPH4A, RSPH9, SPAG1, SPAG16, SPAG17, SPAG6, SPEF2, STK36, TAS2R38, TP73, TTC12, TUBB4B, USP11, ZMYND10
↓ Download CSV (77 genes)</t>
  </si>
  <si>
    <t>G020</t>
  </si>
  <si>
    <t>List the genes associated with RHYNS Syndrome</t>
  </si>
  <si>
    <t>RHYNS Syndrome (Primary Ciliopathies; Tissue-restricted ciliopathy)
Found 2 genes associated with RHYNS Syndrome in CiliaHub:
TBC1D32, TMEM67
↓ Download CSV (2 genes)</t>
  </si>
  <si>
    <t>G021</t>
  </si>
  <si>
    <t>List the genes associated with Polymicrogyria</t>
  </si>
  <si>
    <t>Polymicrogyria (Tissue-restricted ciliopathy)
Found 2 genes associated with Polymicrogyria in CiliaHub:
RTTN, TMEM161B
↓ Download CSV (2 genes)</t>
  </si>
  <si>
    <t>G022</t>
  </si>
  <si>
    <t>List the genes associated with Visceral Heterotaxy / Situs Inversus</t>
  </si>
  <si>
    <t>18 genes</t>
  </si>
  <si>
    <t>Visceral Heterotaxy / Situs Inversus (Tissue-restricted Ciliopathies; Motile Ciliopathies; Primary ciliopathy)
Found 18 genes associated with Visceral Heterotaxy / Situs Inversus in CiliaHub:
ARL2BP, CC2D1A, CCDC57, CFAP45, CFAP53, CFC1, CIROZ, DAW1, DNAH11, DNAH5, DNAI1, FLNB, IFT27, LRRC56, MNS1, NODAL, PKD1L1, ZIC3
↓ Download CSV (18 genes)</t>
  </si>
  <si>
    <t>G023</t>
  </si>
  <si>
    <t>List the genes associated with Cardioacrofacial Dysplasia 1</t>
  </si>
  <si>
    <t>Cardioacrofacial Dysplasia 1 (Primary Ciliopathies; Tissue-restricted ciliopathy)
Found 1 gene associated with Cardioacrofacial Dysplasia 1 in CiliaHub:
PRKACA
↓ Download CSV (1 gene)</t>
  </si>
  <si>
    <t>G024</t>
  </si>
  <si>
    <t>List the genes associated with Weyers Acrofacial Dysostosis</t>
  </si>
  <si>
    <t>Weyers Acrofacial Dysostosis (Tissue-restricted Ciliopathies; Primary ciliopathy)
Found 5 genes associated with Weyers Acrofacial Dysostosis in CiliaHub:
EFCAB7, EVC, EVC2, IFT122, WDR35
↓ Download CSV (5 genes)</t>
  </si>
  <si>
    <t>G025</t>
  </si>
  <si>
    <t>List the genes associated with SOFT Syndrome</t>
  </si>
  <si>
    <t>SOFT Syndrome (Primary ciliopathy)
Found 1 gene associated with SOFT Syndrome in CiliaHub:
POC1A
↓ Download CSV (1 gene)</t>
  </si>
  <si>
    <t>G026</t>
  </si>
  <si>
    <t>List the genes associated with Progressive Familial Intrahepatic Cholestasis</t>
  </si>
  <si>
    <t>Progressive Familial Intrahepatic Cholestasis (Tissue-restricted ciliopathy)
Found 2 genes associated with Progressive Familial Intrahepatic Cholestasis in CiliaHub:
PSKH1, ZFYVE19
↓ Download CSV (2 genes)</t>
  </si>
  <si>
    <t>G027</t>
  </si>
  <si>
    <t>List the genes associated with Renal dysplasia (heterotaxy spectrum)</t>
  </si>
  <si>
    <t>Renal dysplasia (heterotaxy spectrum) (Tissue-restricted Ciliopathies; Motile ciliopathy)
Found 1 gene associated with Renal dysplasia (heterotaxy spectrum) in CiliaHub:
CC2D1A
↓ Download CSV (1 gene)</t>
  </si>
  <si>
    <t>G028</t>
  </si>
  <si>
    <t>List the genes associated with Hydrolethalus Syndrome</t>
  </si>
  <si>
    <t>Hydrolethalus Syndrome (Primary ciliopathy)
Found 5 genes associated with Hydrolethalus Syndrome in CiliaHub:
CEP120, FBF1, HYLS1, KIAA0586, KIF7
↓ Download CSV (5 genes)</t>
  </si>
  <si>
    <t>G029</t>
  </si>
  <si>
    <t>List the genes associated with Hepatorenocardiac Degenerative Fibrosis</t>
  </si>
  <si>
    <t>Hepatorenocardiac Degenerative Fibrosis (Primary Ciliopathies; Tissue-restricted ciliopathy)
Found 1 gene associated with Hepatorenocardiac Degenerative Fibrosis in CiliaHub:
TULP3
↓ Download CSV (1 gene)</t>
  </si>
  <si>
    <t>G030</t>
  </si>
  <si>
    <t>List the genes associated with Caroli Disease</t>
  </si>
  <si>
    <t>Caroli Disease (Tissue-restricted Ciliopathies; Primary ciliopathy)
Found 4 genes associated with Caroli Disease in CiliaHub:
HES1, INVS, NOTCH1, PKHD1
↓ Download CSV (4 genes)</t>
  </si>
  <si>
    <t>H001</t>
  </si>
  <si>
    <t>Which protein complex does CNTRL belong to?</t>
  </si>
  <si>
    <t>Complexes: Centriolar subdistal appendage</t>
  </si>
  <si>
    <t>CNTRL 🥇 Gold Standard
CNTRL is a member of 1 protein complex in CiliaHub:
Centriolar subdistal appendage</t>
  </si>
  <si>
    <t>H002</t>
  </si>
  <si>
    <t>Which protein complex does MAPRE1 belong to?</t>
  </si>
  <si>
    <t>Complexes: SMYLE 2 complex; SMYLE 1 complex</t>
  </si>
  <si>
    <t>MAPRE1 🥇 Gold Standard
MAPRE1 is a member of 2 protein complexes in CiliaHub:
SMYLE 2 complex
SMYLE 1 complex</t>
  </si>
  <si>
    <t>H003</t>
  </si>
  <si>
    <t>Which protein complex does CHRNA3 belong to?</t>
  </si>
  <si>
    <t>Complexes: CHRNA3-CHRNA5-CHRNB2 complex; CHRNA3-CHRNA5-CHRNB4 complex; CHRNA3-CHRNB2 complex; CHRNA3-P2RX2 complex</t>
  </si>
  <si>
    <t>CHRNA3 🥇 Gold Standard
CHRNA3 is a member of 4 protein complexes in CiliaHub:
CHRNA3-CHRNA5-CHRNB2 complex
CHRNA3-CHRNA5-CHRNB4 complex
CHRNA3-CHRNB2 complex
CHRNA3-P2RX2 complex</t>
  </si>
  <si>
    <t>H004</t>
  </si>
  <si>
    <t>Which protein complex does STAG1 belong to?</t>
  </si>
  <si>
    <t>Complexes: Cohesin-SA1 complex; SNF2h-cohesin-NuRD complex</t>
  </si>
  <si>
    <t>STAG1 🥇 Gold Standard
STAG1 is a member of 2 protein complexes in CiliaHub:
Cohesin-SA1 complex
SNF2h-cohesin-NuRD complex</t>
  </si>
  <si>
    <t>H005</t>
  </si>
  <si>
    <t>Which protein complex does GAS2L2 belong to?</t>
  </si>
  <si>
    <t>Complexes: ADORA2-GAS2L2 complex</t>
  </si>
  <si>
    <t>GAS2L2 🥇 Gold Standard
GAS2L2 is a member of 1 protein complex in CiliaHub:
ADORA2-GAS2L2 complex</t>
  </si>
  <si>
    <t>H006</t>
  </si>
  <si>
    <t>Which protein complex does CRHR1 belong to?</t>
  </si>
  <si>
    <t>Complexes: AVPR1B-CRHR1 complex; Corticotropin-releasing factor receptor 1; CRHR1-RAMP2 complex; CRHR1-PDZK1 complex</t>
  </si>
  <si>
    <t>CRHR1 🥈 Cilia-Associated
CRHR1 is a member of 4 protein complexes in CiliaHub:
AVPR1B-CRHR1 complex
Corticotropin-releasing factor receptor 1
CRHR1-RAMP2 complex
CRHR1-PDZK1 complex</t>
  </si>
  <si>
    <t>H007</t>
  </si>
  <si>
    <t>Which protein complex does CAMSAP2 belong to?</t>
  </si>
  <si>
    <t>Complexes: AKAP9-CAMSAP2-PDE4DIPcomplex</t>
  </si>
  <si>
    <t>CAMSAP2 🥇 Gold Standard
CAMSAP2 is a member of 1 protein complex in CiliaHub:
AKAP9-CAMSAP2-PDE4DIPcomplex</t>
  </si>
  <si>
    <t>H008</t>
  </si>
  <si>
    <t>Which protein complex does PPP2R3A belong to?</t>
  </si>
  <si>
    <t>Complexes: LPP-PPP2CA-PPP2R3A complex; PPP2CA-PPP2R1A-PPP2R3A complex</t>
  </si>
  <si>
    <t>PPP2R3A 🥇 Gold Standard
PPP2R3A is a member of 2 protein complexes in CiliaHub:
LPP-PPP2CA-PPP2R3A complex
PPP2CA-PPP2R1A-PPP2R3A complex</t>
  </si>
  <si>
    <t>H009</t>
  </si>
  <si>
    <t>Which protein complex does GRM1 belong to?</t>
  </si>
  <si>
    <t>Complexes: GABBR1-GABBR2-GRM1 complex; CASR-GRM1 complex; Glutamate receptor 1 complex, metabotropic</t>
  </si>
  <si>
    <t>GRM1 🥈 Cilia-Associated
GRM1 is a member of 3 protein complexes in CiliaHub:
GABBR1-GABBR2-GRM1 complex
CASR-GRM1 complex
Glutamate receptor 1 complex, metabotropic</t>
  </si>
  <si>
    <t>H010</t>
  </si>
  <si>
    <t>Which protein complex does ZC3H8 belong to?</t>
  </si>
  <si>
    <t>Complexes: 7SK snRNP-LEC complex; ELL-ICE1-ICE2-ZC3H8 complex</t>
  </si>
  <si>
    <t>ZC3H8 🥈 Cilia-Associated
ZC3H8 is a member of 2 protein complexes in CiliaHub:
7SK snRNP-LEC complex
ELL-ICE1-ICE2-ZC3H8 complex</t>
  </si>
  <si>
    <t>H011</t>
  </si>
  <si>
    <t>Which protein complex does NUP98 belong to?</t>
  </si>
  <si>
    <t>Complexes: Nuclear pore complex; Nup 107-160 subcomplex; NPC subcomplex (NUP96, NUP107, NUP133, NUP160)</t>
  </si>
  <si>
    <t>NUP98 🥇 Gold Standard
NUP98 is a member of 3 protein complexes in CiliaHub:
Nuclear pore complex
Nup 107-160 subcomplex
NPC subcomplex (NUP96, NUP107, NUP133, NUP160)</t>
  </si>
  <si>
    <t>H012</t>
  </si>
  <si>
    <t>Which protein complex does MSH4 belong to?</t>
  </si>
  <si>
    <t>Complexes: MSH4-MSH5-GPS2 complex</t>
  </si>
  <si>
    <t>MSH4 🥇 Gold Standard
MSH4 is a member of 1 protein complex in CiliaHub:
MSH4-MSH5-GPS2 complex</t>
  </si>
  <si>
    <t>H013</t>
  </si>
  <si>
    <t>Which protein complex does CATSPER2 belong to?</t>
  </si>
  <si>
    <t>Complexes: CACNA1I-CATSPER2 complex</t>
  </si>
  <si>
    <t>CATSPER2 🥇 Gold Standard
CATSPER2 is a member of 1 protein complex in CiliaHub:
CACNA1I-CATSPER2 complex</t>
  </si>
  <si>
    <t>H014</t>
  </si>
  <si>
    <t>Which protein complex does NEK2 belong to?</t>
  </si>
  <si>
    <t>Complexes: NEK2-SAV1-STK3 complex; NEK2-NEK11 complex</t>
  </si>
  <si>
    <t>NEK2 🥇 Gold Standard
NEK2 is a member of 2 protein complexes in CiliaHub:
NEK2-SAV1-STK3 complex
NEK2-NEK11 complex</t>
  </si>
  <si>
    <t>H015</t>
  </si>
  <si>
    <t>Which protein complex does ODAD1 belong to?</t>
  </si>
  <si>
    <t>Complexes: Outer dynein arm-docking complex</t>
  </si>
  <si>
    <t>ODAD1 🥇 Gold Standard
ODAD1 is a member of 1 protein complex in CiliaHub:
Outer dynein arm-docking complex</t>
  </si>
  <si>
    <t>H016</t>
  </si>
  <si>
    <t>Which protein complex does FGFR1 belong to?</t>
  </si>
  <si>
    <t>Complexes: FGFR1-KAL11 complex; FGF1-FGFR1-ITGB3 complex; FGF21-FGFR1c-KLB complex; FGFR1-FLT1 complex; FGFR1c-KLB complex; FGFR1-FLT1-VEGFB complex</t>
  </si>
  <si>
    <t>FGFR1 🥇 Gold Standard
FGFR1 is a member of 6 protein complexes in CiliaHub:
FGFR1-KAL11 complex
FGF1-FGFR1-ITGB3 complex
FGF21-FGFR1c-KLB complex
FGFR1-FLT1 complex
FGFR1c-KLB complex
FGFR1-FLT1-VEGFB complex</t>
  </si>
  <si>
    <t>H017</t>
  </si>
  <si>
    <t>Which protein complex does MAPK1 belong to?</t>
  </si>
  <si>
    <t>Complexes: 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</si>
  <si>
    <t>MAPK1 🥇 Gold Standard
MAPK1 is a member of 11 protein complexes in CiliaHub:
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</si>
  <si>
    <t>H018</t>
  </si>
  <si>
    <t>Which protein complex does MAK belong to?</t>
  </si>
  <si>
    <t>Complexes: AR-MAK-NCOA3 complex</t>
  </si>
  <si>
    <t>MAK 🥇 Gold Standard
MAK is a member of 1 protein complex in CiliaHub:
AR-MAK-NCOA3 complex</t>
  </si>
  <si>
    <t>H019</t>
  </si>
  <si>
    <t>Which protein complex does CASP8 belong to?</t>
  </si>
  <si>
    <t>Complexes: 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</si>
  <si>
    <t>CASP8 🥇 Gold Standard
CASP8 is a member of 26 protein complexes in CiliaHub:
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</si>
  <si>
    <t>H020</t>
  </si>
  <si>
    <t>Which protein complex does AFG3L2 belong to?</t>
  </si>
  <si>
    <t>Complexes: Frataxin complex</t>
  </si>
  <si>
    <t>AFG3L2 🥇 Gold Standard
AFG3L2 is a member of 1 protein complex in CiliaHub:
Frataxin complex</t>
  </si>
  <si>
    <t>H021</t>
  </si>
  <si>
    <t>Which protein complex does SEMA4A belong to?</t>
  </si>
  <si>
    <t>Complexes: SEMA4A-PlexinD1 complex</t>
  </si>
  <si>
    <t>SEMA4A 🥈 Cilia-Associated
SEMA4A is a member of 1 protein complex in CiliaHub:
SEMA4A-PlexinD1 complex</t>
  </si>
  <si>
    <t>H022</t>
  </si>
  <si>
    <t>Which protein complex does MAOA belong to?</t>
  </si>
  <si>
    <t>Complexes: MAOA homodimer</t>
  </si>
  <si>
    <t>MAOA 🥇 Gold Standard
MAOA is a member of 1 protein complex in CiliaHub:
MAOA homodimer</t>
  </si>
  <si>
    <t>H023</t>
  </si>
  <si>
    <t>Which protein complex does SFI1 belong to?</t>
  </si>
  <si>
    <t>Complexes: CDC5L complex</t>
  </si>
  <si>
    <t>SFI1 🥇 Gold Standard
SFI1 is a member of 1 protein complex in CiliaHub:
CDC5L complex</t>
  </si>
  <si>
    <t>H024</t>
  </si>
  <si>
    <t>Which protein complex does AHR belong to?</t>
  </si>
  <si>
    <t>Complexes: AHR-ARNT complex; Ubiquitin E3 ligase (AHR, ARNT, DDB1, TBL3, CUL4B, RBX1)</t>
  </si>
  <si>
    <t>AHR 🥈 Cilia-Associated
AHR is a member of 2 protein complexes in CiliaHub:
AHR-ARNT complex
Ubiquitin E3 ligase (AHR, ARNT, DDB1, TBL3, CUL4B, RBX1)</t>
  </si>
  <si>
    <t>H025</t>
  </si>
  <si>
    <t>Which protein complex does CACNA1C belong to?</t>
  </si>
  <si>
    <t>Complexes: CACNA1C-CALM2 complex; CACNA1C-PDE8B2 complex</t>
  </si>
  <si>
    <t>CACNA1C 🥇 Gold Standard
CACNA1C is a member of 2 protein complexes in CiliaHub:
CACNA1C-CALM2 complex
CACNA1C-PDE8B2 complex</t>
  </si>
  <si>
    <t>H026</t>
  </si>
  <si>
    <t>Which protein complex does KIAA0753 belong to?</t>
  </si>
  <si>
    <t>Complexes: KIAA0753-FOR20-OFD1 complex; Distal centriole complex</t>
  </si>
  <si>
    <t>KIAA0753 🥇 Gold Standard
KIAA0753 is a member of 2 protein complexes in CiliaHub:
KIAA0753-FOR20-OFD1 complex
Distal centriole complex</t>
  </si>
  <si>
    <t>H027</t>
  </si>
  <si>
    <t>Which protein complex does ANOS1 belong to?</t>
  </si>
  <si>
    <t>Complexes: FGFR1-KAL11 complex</t>
  </si>
  <si>
    <t>ANOS1 🥈 Cilia-Associated
ANOS1 is a member of 1 protein complex in CiliaHub:
FGFR1-KAL11 complex</t>
  </si>
  <si>
    <t>H028</t>
  </si>
  <si>
    <t>Which protein complex does NUP205 belong to?</t>
  </si>
  <si>
    <t>Complexes: Nuclear pore complex</t>
  </si>
  <si>
    <t>NUP205 🥇 Gold Standard
NUP205 is a member of 1 protein complex in CiliaHub:
Nuclear pore complex</t>
  </si>
  <si>
    <t>H029</t>
  </si>
  <si>
    <t>Which protein complex does DLG4 belong to?</t>
  </si>
  <si>
    <t>Complexes: DLG4-FYN-GRIN2A complex; DLGAP1-DLG4-DYNLL2 complex; DLG4-GRIK2 complex; DLG4-GRIK5 complex; APC-DLG4 complex; DLG3-DLG4-PTK2B complex; DLG4-DLGAP1-SHANK3 complex</t>
  </si>
  <si>
    <t>DLG4 🥇 Gold Standard
DLG4 is a member of 7 protein complexes in CiliaHub:
DLG4-FYN-GRIN2A complex
DLGAP1-DLG4-DYNLL2 complex
DLG4-GRIK2 complex
DLG4-GRIK5 complex
APC-DLG4 complex
DLG3-DLG4-PTK2B complex
DLG4-DLGAP1-SHANK3 complex</t>
  </si>
  <si>
    <t>H030</t>
  </si>
  <si>
    <t>Which protein complex does CHMP2A belong to?</t>
  </si>
  <si>
    <t>Complexes: ESCRT-III complex</t>
  </si>
  <si>
    <t>CHMP2A 🥇 Gold Standard
CHMP2A is a member of 1 protein complex in CiliaHub:
ESCRT-III complex</t>
  </si>
  <si>
    <t>I001</t>
  </si>
  <si>
    <t>Tell me about SCA5</t>
  </si>
  <si>
    <t>Previous symbol of SPTBN2</t>
  </si>
  <si>
    <t>SPTBN2 🥈 Cilia-Associated
SCA5 is an earlier symbol of SPTBN2.
Description: spectrin beta, non-erythrocytic 2 [Source:HGNC Symbol,Acc:HGNC:11276]
Localization: cilia associated gene, cytosol
Mouse Ortholog: Sptbn2
Mouse Phenotype: increased circulating creatine kise level, increased circulating phosphate level
OMIM: 604985
Evidence tier: Cilia-Associated Genes
Ciliopathies: —
No known protein complex membership.</t>
  </si>
  <si>
    <t>I002</t>
  </si>
  <si>
    <t>Tell me about H3FL</t>
  </si>
  <si>
    <t>Previous symbol of H3C2</t>
  </si>
  <si>
    <t>H3C2 🥇 Gold Standard
H3FL is an earlier symbol of H3C2.
Description: H3 clustered histone 2 [Source:HGNC Symbol,Acc:HGNC:4776]
Localization: flagella
Mouse Ortholog: H3c1, H3c10, H3c11, H3c2, H3c8
Mouse Phenotype: —
OMIM: 602819
Evidence tier: Gold Standard Ciliary Genes
Ciliopathies: —
No known protein complex membership.</t>
  </si>
  <si>
    <t>I003</t>
  </si>
  <si>
    <t>Tell me about FAM148C</t>
  </si>
  <si>
    <t>Previous symbol of C2CD4C</t>
  </si>
  <si>
    <t>C2CD4C 🥇 Gold Standard
FAM148C is an earlier symbol of C2CD4C.
Description: C2 calcium dependent domain containing 4C [Source:HGNC Symbol,Acc:HGNC:29417]
Localization: cilia
Mouse Ortholog: C2cd4c
Mouse Phenotype: decreased bone mineral density
OMIM: 610336
Evidence tier: Gold Standard Ciliary Genes
Ciliopathies: —
No known protein complex membership.</t>
  </si>
  <si>
    <t>I004</t>
  </si>
  <si>
    <t>Tell me about PRKG1B</t>
  </si>
  <si>
    <t>Previous symbol of PRKG1</t>
  </si>
  <si>
    <t>PRKG1 🥇 Gold Standard
PRKG1B is an earlier symbol of PRKG1.
Description: protein kinase cGMP-dependent 1
Localization: cilia, Vesicles, Cytosol
Mouse Ortholog: Prkg1,Prkg2
Mouse Phenotype: enlarged heart
OMIM: —
Evidence tier: Gold Standard Ciliary Genes
Ciliopathies: —
No known protein complex membership.</t>
  </si>
  <si>
    <t>I005</t>
  </si>
  <si>
    <t>Tell me about MDS1</t>
  </si>
  <si>
    <t>Previous symbol of MECOM</t>
  </si>
  <si>
    <t>MECOM 🥈 Cilia-Associated
MDS1 is an earlier symbol of MECOM.
Description: MDS1 and EVI1 complex locus [Source:HGNC Symbol,Acc:HGNC:3498]
Localization: cilia associated gene, nucleus
Mouse Ortholog: Mecom
Mouse Phenotype: 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
OMIM: 165215
Evidence tier: Cilia-Associated Genes
Ciliopathies: —
Protein complex: MECOM-SUV39H1 complex; EHMT2-MECOM complex; MECOM-CEBPB complex</t>
  </si>
  <si>
    <t>I006</t>
  </si>
  <si>
    <t>Tell me about ARHU</t>
  </si>
  <si>
    <t>Previous symbol of RHOU</t>
  </si>
  <si>
    <t>RHOU 🥇 Gold Standard
ARHU is an earlier symbol of RHOU.
Description: ras homolog family member U [Source:HGNC Symbol,Acc:HGNC:17794]
Localization: cilia, cytosol
Mouse Ortholog: Rhou
Mouse Phenotype: vertebral fusion, increased mean corpuscular volume, increased blood urea nitrogen level
OMIM: 606366
Evidence tier: Gold Standard Ciliary Genes
Ciliopathies: —
No known protein complex membership.</t>
  </si>
  <si>
    <t>I007</t>
  </si>
  <si>
    <t>Tell me about C11orf66</t>
  </si>
  <si>
    <t>Previous symbol of SAXO4</t>
  </si>
  <si>
    <t>SAXO4 🥇 Gold Standard
C11orf66 is an earlier symbol of SAXO4.
Description: stabilizer of axonemal 4 [Source:HGNC Symbol,Acc:HGNC:28869]
Localization: cilia
Mouse Ortholog: Saxo4
Mouse Phenotype: abnormal coat/hair pigmentation
OMIM: 619047
Evidence tier: Gold Standard Ciliary Genes
Ciliopathies: —
No known protein complex membership.</t>
  </si>
  <si>
    <t>I008</t>
  </si>
  <si>
    <t>Tell me about CLIC1L</t>
  </si>
  <si>
    <t>Previous symbol of CLIC6</t>
  </si>
  <si>
    <t>CLIC6 🥇 Gold Standard
CLIC1L is an earlier symbol of CLIC6.
Description: chloride intracellular channel 6 [Source:HGNC Symbol,Acc:HGNC:2065]
Localization: cilia
Mouse Ortholog: Clic6
Mouse Phenotype: —
OMIM: 615321
Evidence tier: Gold Standard Ciliary Genes
Ciliopathies: —
No known protein complex membership.</t>
  </si>
  <si>
    <t>I009</t>
  </si>
  <si>
    <t>Tell me about C7orf43</t>
  </si>
  <si>
    <t>Previous symbol of TRAPPC14</t>
  </si>
  <si>
    <t>TRAPPC14 🥇 Gold Standard
C7orf43 is an earlier symbol of TRAPPC14.
Description: trafficking protein particle complex subunit 14 [Source:HGNC Symbol,Acc:HGNC:25604]
Localization: basal body
Mouse Ortholog: Trappc14
Mouse Phenotype: —
OMIM: 618350
Evidence tier: Gold Standard Ciliary Genes
Ciliopathies: —
Protein complex: RAB3IP-TRAPP II complex</t>
  </si>
  <si>
    <t>I010</t>
  </si>
  <si>
    <t>Tell me about ADRBK1</t>
  </si>
  <si>
    <t>Previous symbol of GRK2</t>
  </si>
  <si>
    <t>GRK2 🥇 Gold Standard
ADRBK1 is an earlier symbol of GRK2.
Description: G protein-coupled receptor kinase 2 [Source:HGNC Symbol,Acc:HGNC:289]
Localization: cilia
Mouse Ortholog: Grk2
Mouse Phenotype: —
OMIM: 109635
Evidence tier: Gold Standard Ciliary Genes
Ciliopathies: Short-Rib Thoracic Dysplasia; Skeletal Ciliopathy
Protein complex: ADRB1-GRK2 complex; GRK2-HDAC6 complex; GRK2-OXTR complex; CAV1-GRK2 complex</t>
  </si>
  <si>
    <t>I011</t>
  </si>
  <si>
    <t>Tell me about GPR11</t>
  </si>
  <si>
    <t>Previous symbol of F2RL1</t>
  </si>
  <si>
    <t>F2RL1 🥈 Cilia-Associated
GPR11 is an earlier symbol of F2RL1.
Description: F2R like trypsin receptor 1 [Source:HGNC Symbol,Acc:HGNC:3538]
Localization: cilia associated gene, endosome
Mouse Ortholog: F2rl1
Mouse Phenotype: increased startle reflex
OMIM: 600933
Evidence tier: Cilia-Associated Genes
Ciliopathies: —
Protein complex: F2R-F2RL1 complex; F2RL1-TMED10 complex</t>
  </si>
  <si>
    <t>I012</t>
  </si>
  <si>
    <t>Tell me about RP15</t>
  </si>
  <si>
    <t>Previous symbol of RPGR</t>
  </si>
  <si>
    <t>RPGR 🥇 Gold Standard
RP15 is an earlier symbol of RPGR.
Description: retinitis pigmentosa GTPase regulator [Source:HGNC Symbol,Acc:HGNC:10295]
Localization: basal body, centrosome, cilia
Mouse Ortholog: Rpgr
Mouse Phenotype: —
OMIM: 312610
Evidence tier: Gold Standard Ciliary Genes
Ciliopathies: Cone-Rod Dystrophy; Retinal Dystrophy/Degeneration
Protein complex: PDE6D-RPGR complex; INPP5E-RPGR complex; RPGR-RPGRIP1L complex; INPP5E-PDE6D-RPGR complex</t>
  </si>
  <si>
    <t>I013</t>
  </si>
  <si>
    <t>Tell me about KNSL5</t>
  </si>
  <si>
    <t>Previous symbol of KIF23</t>
  </si>
  <si>
    <t>KIF23 🥇 Gold Standard
KNSL5 is an earlier symbol of KIF23.
Description: kinesin family member 23 [Source:HGNC Symbol,Acc:HGNC:6392]
Localization: centrosome, cytosol, flagella, nucleus
Mouse Ortholog: Kif23
Mouse Phenotype: —
OMIM: 605064
Evidence tier: Gold Standard Ciliary Genes
Ciliopathies: —
Protein complex: ECT2-KIF23-RACGAP1 complex; KIF4A-KIF14-KIF20A-KIF23-PRC1 complex; CEN complex; KIF23-RACGAP1 complex</t>
  </si>
  <si>
    <t>I014</t>
  </si>
  <si>
    <t>Tell me about DFNA9</t>
  </si>
  <si>
    <t>Previous symbol of COCH</t>
  </si>
  <si>
    <t>COCH 🥈 Cilia-Associated
DFNA9 is an earlier symbol of COCH.
Description: cochlin [Source:HGNC Symbol,Acc:HGNC:2180]
Localization: cilia associated gene
Mouse Ortholog: Coch
Mouse Phenotype: —
OMIM: 603196
Evidence tier: Cilia-Associated Genes
Ciliopathies: —
No known protein complex membership.</t>
  </si>
  <si>
    <t>I015</t>
  </si>
  <si>
    <t>Tell me about CNMPD1</t>
  </si>
  <si>
    <t>Previous symbol of CNBD2</t>
  </si>
  <si>
    <t>CNBD2 🥇 Gold Standard
CNMPD1 is an earlier symbol of CNBD2.
Description: cyclic nucleotide binding domain containing 2 [Source:HGNC Symbol,Acc:HGNC:16145]
Localization: flagella
Mouse Ortholog: Cnbd2
Mouse Phenotype: —
OMIM: —
Evidence tier: Gold Standard Ciliary Genes
Ciliopathies: —
No known protein complex membership.</t>
  </si>
  <si>
    <t>I016</t>
  </si>
  <si>
    <t>Tell me about DNCI2</t>
  </si>
  <si>
    <t>Previous symbol of DYNC1I2</t>
  </si>
  <si>
    <t>DYNC1I2 🥇 Gold Standard
DNCI2 is an earlier symbol of DYNC1I2.
Description: dynein cytoplasmic 1 intermediate chain 2 [Source:HGNC Symbol,Acc:HGNC:2964]
Localization: basal body, centrosome, cytosol, flagella
Mouse Ortholog: Dync1i2
Mouse Phenotype: decreased circulating cholesterol level, increased leukocyte cell number, increased lean body mass, increased bone mineral content, decreased circulating hdl cholesterol level, decreased total body fat amount
OMIM: 603331
Evidence tier: Gold Standard Ciliary Genes
Ciliopathies: —
No known protein complex membership.</t>
  </si>
  <si>
    <t>I017</t>
  </si>
  <si>
    <t>Tell me about C1orf230</t>
  </si>
  <si>
    <t>Previous symbol of RIIAD1</t>
  </si>
  <si>
    <t>RIIAD1 🥇 Gold Standard
C1orf230 is an earlier symbol of RIIAD1.
Description: regulatory subunit of type II PKA R-subunit domain containing 1 [Source:HGNC Symbol,Acc:HGNC:26686]
Localization: cilia, cytosol, nucleoplasm, transition zone
Mouse Ortholog: Riiad1
Mouse Phenotype: —
OMIM: —
Evidence tier: Gold Standard Ciliary Genes
Ciliopathies: —
No known protein complex membership.</t>
  </si>
  <si>
    <t>I018</t>
  </si>
  <si>
    <t>Tell me about ZNF515</t>
  </si>
  <si>
    <t>Previous symbol of GLIS3</t>
  </si>
  <si>
    <t>GLIS3 🥇 Gold Standard
ZNF515 is an earlier symbol of GLIS3.
Description: GLIS family zinc finger 3 [Source:HGNC Symbol,Acc:HGNC:28510]
Localization: cilia, nucleus
Mouse Ortholog: Glis3
Mouse Phenotype: —
OMIM: 610192
Evidence tier: Gold Standard Ciliary Genes
Ciliopathies: Neonatal Diabetes and Hypothyroidism Syndrome
Protein complex: GLIS3-SUFU complex</t>
  </si>
  <si>
    <t>I019</t>
  </si>
  <si>
    <t>Tell me about LRRC6</t>
  </si>
  <si>
    <t>Previous symbol of DNAAF11</t>
  </si>
  <si>
    <t>DNAAF11 🥇 Gold Standard
LRRC6 is an earlier symbol of DNAAF11.
Description: dynein axonemal assembly factor 11 [Source:HGNC Symbol,Acc:HGNC:16725]
Localization: flagella, cilia, cytosol
Mouse Ortholog: Dnaaf11
Mouse Phenotype: —
OMIM: 614930
Evidence tier: Gold Standard Ciliary Genes
Ciliopathies: Male Infertility; Primary Ciliary Dyskinesia
Protein complex: ZMYND10 complex, cytoplasmic</t>
  </si>
  <si>
    <t>I020</t>
  </si>
  <si>
    <t>Tell me about C17orf31</t>
  </si>
  <si>
    <t>Previous symbol of SMG6</t>
  </si>
  <si>
    <t>SMG6 🥇 Gold Standard
C17orf31 is an earlier symbol of SMG6.
Description: SMG6 nonsense mediated mRNA decay factor [Source:HGNC Symbol,Acc:HGNC:17809]
Localization: basal body, cytosol, nucleus, transition zone
Mouse Ortholog: Smg6
Mouse Phenotype: decreased hematocrit, preweaning lethality, complete penetrance, scaly skin, abnormal spleen morphology, abnormal startle reflex, enlarged spleen, embryonic lethality prior to organogenesis, abnormal skin morphology
OMIM: 610963
Evidence tier: Gold Standard Ciliary Genes
Ciliopathies: —
Protein complex: Telomerase holoenzyme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</si>
</sst>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1.0"/>
      <color theme="1"/>
      <name val="Calibri"/>
      <scheme val="minor"/>
    </font>
    <font>
      <b/>
      <sz val="11.0"/>
      <color rgb="FFFFFFFF"/>
      <name val="Calibri"/>
    </font>
    <font>
      <b/>
      <sz val="12.0"/>
      <color theme="1"/>
      <name val="Calibri"/>
    </font>
    <font>
      <sz val="11.0"/>
      <color theme="1"/>
      <name val="Calibri"/>
    </font>
    <font>
      <sz val="11.0"/>
      <color rgb="FF000000"/>
      <name val="Calibri"/>
    </font>
    <font>
      <color theme="1"/>
      <name val="Calibri"/>
      <scheme val="minor"/>
    </font>
    <font>
      <b/>
      <sz val="11.0"/>
      <color theme="1"/>
      <name val="Calibri"/>
    </font>
  </fonts>
  <fills count="3">
    <fill>
      <patternFill patternType="none"/>
    </fill>
    <fill>
      <patternFill patternType="lightGray"/>
    </fill>
    <fill>
      <patternFill patternType="solid">
        <fgColor rgb="FF1F3A5F"/>
        <bgColor rgb="FF1F3A5F"/>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1" fillId="2" fontId="1" numFmtId="0" xfId="0" applyAlignment="1" applyBorder="1" applyFill="1" applyFont="1">
      <alignment shrinkToFit="0" vertical="center" wrapText="1"/>
    </xf>
    <xf borderId="0" fillId="0" fontId="3" numFmtId="0" xfId="0" applyAlignment="1" applyFont="1">
      <alignment vertical="top"/>
    </xf>
    <xf borderId="0" fillId="0" fontId="4" numFmtId="0" xfId="0" applyAlignment="1" applyFont="1">
      <alignment horizontal="left" readingOrder="0" shrinkToFit="0" vertical="bottom" wrapText="0"/>
    </xf>
    <xf borderId="0" fillId="0" fontId="5" numFmtId="0" xfId="0" applyFont="1"/>
    <xf borderId="0" fillId="0" fontId="3" numFmtId="0" xfId="0" applyAlignment="1" applyFont="1">
      <alignment shrinkToFit="0" vertical="top" wrapText="1"/>
    </xf>
    <xf borderId="0" fillId="0" fontId="4" numFmtId="0" xfId="0" applyAlignment="1" applyFont="1">
      <alignment horizontal="right" readingOrder="0" shrinkToFit="0" vertical="bottom" wrapText="0"/>
    </xf>
    <xf borderId="0" fillId="0" fontId="5" numFmtId="0" xfId="0" applyAlignment="1" applyFont="1">
      <alignment readingOrder="0"/>
    </xf>
    <xf borderId="0" fillId="0" fontId="4" numFmtId="164" xfId="0" applyAlignment="1" applyFont="1" applyNumberFormat="1">
      <alignment horizontal="right" readingOrder="0" shrinkToFit="0" vertical="bottom" wrapText="0"/>
    </xf>
    <xf borderId="0" fillId="0" fontId="3" numFmtId="164" xfId="0" applyFont="1" applyNumberFormat="1"/>
    <xf borderId="0" fillId="0" fontId="6" numFmtId="0" xfId="0" applyAlignment="1" applyFont="1">
      <alignment horizontal="left" readingOrder="0" shrinkToFit="0" vertical="bottom" wrapText="0"/>
    </xf>
    <xf borderId="0" fillId="0" fontId="6" numFmtId="0" xfId="0" applyAlignment="1" applyFont="1">
      <alignment horizontal="right" readingOrder="0" shrinkToFit="0" vertical="bottom" wrapText="0"/>
    </xf>
    <xf borderId="0" fillId="0" fontId="6" numFmtId="164" xfId="0" applyAlignment="1" applyFont="1" applyNumberFormat="1">
      <alignment horizontal="right" readingOrder="0" shrinkToFit="0" vertical="bottom" wrapText="0"/>
    </xf>
    <xf borderId="0" fillId="0" fontId="6" numFmtId="0" xfId="0" applyFont="1"/>
    <xf borderId="0" fillId="0" fontId="6"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Supplementary_Table_S4_CiliAI_Benchmark.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egend"/>
      <sheetName val="Summary"/>
      <sheetName val="Answers"/>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0"/>
    <col customWidth="1" min="2" max="26" width="8.71"/>
  </cols>
  <sheetData>
    <row r="1" ht="14.25" customHeight="1">
      <c r="A1" s="2" t="s">
        <v>1</v>
      </c>
    </row>
    <row r="2" ht="14.25" customHeight="1"/>
    <row r="3" ht="14.25" customHeight="1">
      <c r="A3" s="6" t="s">
        <v>11</v>
      </c>
    </row>
    <row r="4" ht="14.25" customHeight="1">
      <c r="A4" s="9" t="s">
        <v>22</v>
      </c>
    </row>
    <row r="5" ht="14.25" customHeight="1">
      <c r="A5" s="6" t="s">
        <v>36</v>
      </c>
    </row>
    <row r="6" ht="14.25" customHeight="1">
      <c r="A6" s="6" t="s">
        <v>37</v>
      </c>
    </row>
    <row r="7" ht="14.25" customHeight="1">
      <c r="A7" s="6" t="s">
        <v>40</v>
      </c>
    </row>
    <row r="8" ht="14.25" customHeight="1">
      <c r="A8" s="6" t="s">
        <v>42</v>
      </c>
    </row>
    <row r="9" ht="14.25" customHeight="1"/>
    <row r="10" ht="14.25" customHeight="1">
      <c r="A10" s="6" t="s">
        <v>43</v>
      </c>
    </row>
    <row r="11" ht="14.25" customHeight="1">
      <c r="A11" s="6" t="s">
        <v>45</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11.0"/>
    <col customWidth="1" min="3" max="3" width="10.0"/>
    <col customWidth="1" min="4" max="4" width="11.0"/>
    <col customWidth="1" min="5" max="5" width="16.0"/>
    <col customWidth="1" min="6" max="8" width="14.0"/>
    <col customWidth="1" min="9" max="26" width="8.71"/>
  </cols>
  <sheetData>
    <row r="1" ht="14.25" customHeight="1">
      <c r="A1" s="3" t="s">
        <v>0</v>
      </c>
      <c r="B1" s="3" t="s">
        <v>3</v>
      </c>
      <c r="C1" s="3" t="s">
        <v>4</v>
      </c>
      <c r="D1" s="3" t="s">
        <v>5</v>
      </c>
      <c r="E1" s="3" t="s">
        <v>6</v>
      </c>
      <c r="F1" s="3" t="s">
        <v>7</v>
      </c>
      <c r="G1" s="3" t="s">
        <v>8</v>
      </c>
      <c r="H1" s="3" t="s">
        <v>9</v>
      </c>
    </row>
    <row r="2" ht="14.25" customHeight="1">
      <c r="A2" s="6" t="s">
        <v>10</v>
      </c>
      <c r="B2" s="6">
        <f>COUNTIFS(Answers!$B$2:$B$311,A2)</f>
        <v>60</v>
      </c>
      <c r="C2" s="6">
        <f>COUNTIFS(Answers!$B$2:$B$311,A2,Answers!$G$2:$G$311,"Correct")</f>
        <v>60</v>
      </c>
      <c r="D2" s="11">
        <f t="shared" ref="D2:D11" si="1">C2/B2</f>
        <v>1</v>
      </c>
      <c r="E2" s="6" t="s">
        <v>51</v>
      </c>
      <c r="F2" s="6">
        <f>COUNTIFS(Answers!$B$2:$B$311,A2,Answers!$H$2:$H$311,"Yes")</f>
        <v>0</v>
      </c>
      <c r="G2" s="6">
        <f>COUNTIFS(Answers!$B$2:$B$311,A2,Answers!$I$2:$I$311,"Yes")</f>
        <v>0</v>
      </c>
      <c r="H2" s="11">
        <f>COUNTIFS(Answers!$B$2:$B$311,A2,Answers!$F$2:$F$311,"Yes")/B2</f>
        <v>1</v>
      </c>
    </row>
    <row r="3" ht="14.25" customHeight="1">
      <c r="A3" s="6" t="s">
        <v>54</v>
      </c>
      <c r="B3" s="6">
        <f>COUNTIFS(Answers!$B$2:$B$311,A3)</f>
        <v>40</v>
      </c>
      <c r="C3" s="6">
        <f>COUNTIFS(Answers!$B$2:$B$311,A3,Answers!$G$2:$G$311,"Correct")</f>
        <v>40</v>
      </c>
      <c r="D3" s="11">
        <f t="shared" si="1"/>
        <v>1</v>
      </c>
      <c r="E3" s="6" t="s">
        <v>129</v>
      </c>
      <c r="F3" s="6">
        <f>COUNTIFS(Answers!$B$2:$B$311,A3,Answers!$H$2:$H$311,"Yes")</f>
        <v>0</v>
      </c>
      <c r="G3" s="6">
        <f>COUNTIFS(Answers!$B$2:$B$311,A3,Answers!$I$2:$I$311,"Yes")</f>
        <v>0</v>
      </c>
      <c r="H3" s="11">
        <f>COUNTIFS(Answers!$B$2:$B$311,A3,Answers!$F$2:$F$311,"Yes")/B3</f>
        <v>1</v>
      </c>
    </row>
    <row r="4" ht="14.25" customHeight="1">
      <c r="A4" s="6" t="s">
        <v>59</v>
      </c>
      <c r="B4" s="6">
        <f>COUNTIFS(Answers!$B$2:$B$311,A4)</f>
        <v>10</v>
      </c>
      <c r="C4" s="6">
        <f>COUNTIFS(Answers!$B$2:$B$311,A4,Answers!$G$2:$G$311,"Correct")</f>
        <v>10</v>
      </c>
      <c r="D4" s="11">
        <f t="shared" si="1"/>
        <v>1</v>
      </c>
      <c r="E4" s="6" t="s">
        <v>61</v>
      </c>
      <c r="F4" s="6">
        <f>COUNTIFS(Answers!$B$2:$B$311,A4,Answers!$H$2:$H$311,"Yes")</f>
        <v>0</v>
      </c>
      <c r="G4" s="6">
        <f>COUNTIFS(Answers!$B$2:$B$311,A4,Answers!$I$2:$I$311,"Yes")</f>
        <v>0</v>
      </c>
      <c r="H4" s="11">
        <f>COUNTIFS(Answers!$B$2:$B$311,A4,Answers!$F$2:$F$311,"Yes")/B4</f>
        <v>1</v>
      </c>
    </row>
    <row r="5" ht="14.25" customHeight="1">
      <c r="A5" s="6" t="s">
        <v>62</v>
      </c>
      <c r="B5" s="6">
        <f>COUNTIFS(Answers!$B$2:$B$311,A5)</f>
        <v>60</v>
      </c>
      <c r="C5" s="6">
        <f>COUNTIFS(Answers!$B$2:$B$311,A5,Answers!$G$2:$G$311,"Correct")</f>
        <v>60</v>
      </c>
      <c r="D5" s="11">
        <f t="shared" si="1"/>
        <v>1</v>
      </c>
      <c r="E5" s="6" t="s">
        <v>51</v>
      </c>
      <c r="F5" s="6">
        <f>COUNTIFS(Answers!$B$2:$B$311,A5,Answers!$H$2:$H$311,"Yes")</f>
        <v>0</v>
      </c>
      <c r="G5" s="6">
        <f>COUNTIFS(Answers!$B$2:$B$311,A5,Answers!$I$2:$I$311,"Yes")</f>
        <v>0</v>
      </c>
      <c r="H5" s="11">
        <f>COUNTIFS(Answers!$B$2:$B$311,A5,Answers!$F$2:$F$311,"Yes")/B5</f>
        <v>1</v>
      </c>
    </row>
    <row r="6" ht="14.25" customHeight="1">
      <c r="A6" s="6" t="s">
        <v>66</v>
      </c>
      <c r="B6" s="6">
        <f>COUNTIFS(Answers!$B$2:$B$311,A6)</f>
        <v>40</v>
      </c>
      <c r="C6" s="6">
        <f>COUNTIFS(Answers!$B$2:$B$311,A6,Answers!$G$2:$G$311,"Correct")</f>
        <v>40</v>
      </c>
      <c r="D6" s="11">
        <f t="shared" si="1"/>
        <v>1</v>
      </c>
      <c r="E6" s="6" t="s">
        <v>129</v>
      </c>
      <c r="F6" s="6">
        <f>COUNTIFS(Answers!$B$2:$B$311,A6,Answers!$H$2:$H$311,"Yes")</f>
        <v>0</v>
      </c>
      <c r="G6" s="6">
        <f>COUNTIFS(Answers!$B$2:$B$311,A6,Answers!$I$2:$I$311,"Yes")</f>
        <v>0</v>
      </c>
      <c r="H6" s="11">
        <f>COUNTIFS(Answers!$B$2:$B$311,A6,Answers!$F$2:$F$311,"Yes")/B6</f>
        <v>1</v>
      </c>
    </row>
    <row r="7" ht="14.25" customHeight="1">
      <c r="A7" s="6" t="s">
        <v>70</v>
      </c>
      <c r="B7" s="6">
        <f>COUNTIFS(Answers!$B$2:$B$311,A7)</f>
        <v>20</v>
      </c>
      <c r="C7" s="6">
        <f>COUNTIFS(Answers!$B$2:$B$311,A7,Answers!$G$2:$G$311,"Correct")</f>
        <v>20</v>
      </c>
      <c r="D7" s="11">
        <f t="shared" si="1"/>
        <v>1</v>
      </c>
      <c r="E7" s="6" t="s">
        <v>72</v>
      </c>
      <c r="F7" s="6">
        <f>COUNTIFS(Answers!$B$2:$B$311,A7,Answers!$H$2:$H$311,"Yes")</f>
        <v>0</v>
      </c>
      <c r="G7" s="6">
        <f>COUNTIFS(Answers!$B$2:$B$311,A7,Answers!$I$2:$I$311,"Yes")</f>
        <v>0</v>
      </c>
      <c r="H7" s="11">
        <f>COUNTIFS(Answers!$B$2:$B$311,A7,Answers!$F$2:$F$311,"Yes")/B7</f>
        <v>1</v>
      </c>
    </row>
    <row r="8" ht="14.25" customHeight="1">
      <c r="A8" s="6" t="s">
        <v>73</v>
      </c>
      <c r="B8" s="6">
        <f>COUNTIFS(Answers!$B$2:$B$311,A8)</f>
        <v>30</v>
      </c>
      <c r="C8" s="6">
        <f>COUNTIFS(Answers!$B$2:$B$311,A8,Answers!$G$2:$G$311,"Correct")</f>
        <v>30</v>
      </c>
      <c r="D8" s="11">
        <f t="shared" si="1"/>
        <v>1</v>
      </c>
      <c r="E8" s="6" t="s">
        <v>76</v>
      </c>
      <c r="F8" s="6">
        <f>COUNTIFS(Answers!$B$2:$B$311,A8,Answers!$H$2:$H$311,"Yes")</f>
        <v>0</v>
      </c>
      <c r="G8" s="6">
        <f>COUNTIFS(Answers!$B$2:$B$311,A8,Answers!$I$2:$I$311,"Yes")</f>
        <v>0</v>
      </c>
      <c r="H8" s="11">
        <f>COUNTIFS(Answers!$B$2:$B$311,A8,Answers!$F$2:$F$311,"Yes")/B8</f>
        <v>1</v>
      </c>
    </row>
    <row r="9" ht="14.25" customHeight="1">
      <c r="A9" s="6" t="s">
        <v>78</v>
      </c>
      <c r="B9" s="6">
        <f>COUNTIFS(Answers!$B$2:$B$311,A9)</f>
        <v>30</v>
      </c>
      <c r="C9" s="6">
        <f>COUNTIFS(Answers!$B$2:$B$311,A9,Answers!$G$2:$G$311,"Correct")</f>
        <v>30</v>
      </c>
      <c r="D9" s="11">
        <f t="shared" si="1"/>
        <v>1</v>
      </c>
      <c r="E9" s="6" t="s">
        <v>76</v>
      </c>
      <c r="F9" s="6">
        <f>COUNTIFS(Answers!$B$2:$B$311,A9,Answers!$H$2:$H$311,"Yes")</f>
        <v>0</v>
      </c>
      <c r="G9" s="6">
        <f>COUNTIFS(Answers!$B$2:$B$311,A9,Answers!$I$2:$I$311,"Yes")</f>
        <v>0</v>
      </c>
      <c r="H9" s="11">
        <f>COUNTIFS(Answers!$B$2:$B$311,A9,Answers!$F$2:$F$311,"Yes")/B9</f>
        <v>1</v>
      </c>
    </row>
    <row r="10" ht="14.25" customHeight="1">
      <c r="A10" s="6" t="s">
        <v>81</v>
      </c>
      <c r="B10" s="6">
        <f>COUNTIFS(Answers!$B$2:$B$311,A10)</f>
        <v>20</v>
      </c>
      <c r="C10" s="6">
        <f>COUNTIFS(Answers!$B$2:$B$311,A10,Answers!$G$2:$G$311,"Correct")</f>
        <v>20</v>
      </c>
      <c r="D10" s="11">
        <f t="shared" si="1"/>
        <v>1</v>
      </c>
      <c r="E10" s="6" t="s">
        <v>72</v>
      </c>
      <c r="F10" s="6">
        <f>COUNTIFS(Answers!$B$2:$B$311,A10,Answers!$H$2:$H$311,"Yes")</f>
        <v>0</v>
      </c>
      <c r="G10" s="6">
        <f>COUNTIFS(Answers!$B$2:$B$311,A10,Answers!$I$2:$I$311,"Yes")</f>
        <v>0</v>
      </c>
      <c r="H10" s="11">
        <f>COUNTIFS(Answers!$B$2:$B$311,A10,Answers!$F$2:$F$311,"Yes")/B10</f>
        <v>1</v>
      </c>
    </row>
    <row r="11" ht="14.25" customHeight="1">
      <c r="A11" s="15" t="s">
        <v>84</v>
      </c>
      <c r="B11" s="15">
        <f>COUNTIFS(Answers!$B$2:$B$311,"*")</f>
        <v>310</v>
      </c>
      <c r="C11" s="15">
        <f>COUNTIFS(Answers!$B$2:$B$311,"*",Answers!$G$2:$G$311,"Correct")</f>
        <v>310</v>
      </c>
      <c r="D11" s="16">
        <f t="shared" si="1"/>
        <v>1</v>
      </c>
      <c r="E11" s="15" t="s">
        <v>550</v>
      </c>
      <c r="F11" s="15">
        <f>COUNTIFS(Answers!$B$2:$B$311,"*",Answers!$H$2:$H$311,"Yes")</f>
        <v>0</v>
      </c>
      <c r="G11" s="15">
        <f>COUNTIFS(Answers!$B$2:$B$311,"*",Answers!$I$2:$I$311,"Yes")</f>
        <v>0</v>
      </c>
      <c r="H11" s="16">
        <f>COUNTIFS(Answers!$B$2:$B$311,"*",Answers!$F$2:$F$311,"Yes")/B11</f>
        <v>1</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30.0"/>
    <col customWidth="1" min="3" max="3" width="48.0"/>
    <col customWidth="1" min="4" max="4" width="45.0"/>
    <col customWidth="1" min="5" max="5" width="70.0"/>
    <col customWidth="1" min="6" max="7" width="11.0"/>
    <col customWidth="1" min="8" max="9" width="13.0"/>
    <col customWidth="1" min="10" max="10" width="60.0"/>
    <col customWidth="1" min="11" max="26" width="8.71"/>
  </cols>
  <sheetData>
    <row r="1" ht="14.25" customHeight="1">
      <c r="A1" s="3" t="s">
        <v>2</v>
      </c>
      <c r="B1" s="3" t="s">
        <v>0</v>
      </c>
      <c r="C1" s="3" t="s">
        <v>12</v>
      </c>
      <c r="D1" s="3" t="s">
        <v>13</v>
      </c>
      <c r="E1" s="3" t="s">
        <v>14</v>
      </c>
      <c r="F1" s="3" t="s">
        <v>15</v>
      </c>
      <c r="G1" s="3" t="s">
        <v>16</v>
      </c>
      <c r="H1" s="3" t="s">
        <v>17</v>
      </c>
      <c r="I1" s="3" t="s">
        <v>18</v>
      </c>
      <c r="J1" s="3" t="s">
        <v>19</v>
      </c>
    </row>
    <row r="2" ht="14.25" customHeight="1">
      <c r="A2" s="4" t="s">
        <v>20</v>
      </c>
      <c r="B2" s="4" t="s">
        <v>10</v>
      </c>
      <c r="C2" s="7" t="s">
        <v>21</v>
      </c>
      <c r="D2" s="7" t="s">
        <v>23</v>
      </c>
      <c r="E2" s="7" t="s">
        <v>24</v>
      </c>
      <c r="F2" s="4" t="s">
        <v>25</v>
      </c>
      <c r="G2" s="4" t="s">
        <v>4</v>
      </c>
      <c r="H2" s="4" t="s">
        <v>26</v>
      </c>
      <c r="I2" s="4" t="s">
        <v>26</v>
      </c>
      <c r="J2" s="7"/>
    </row>
    <row r="3" ht="14.25" customHeight="1">
      <c r="A3" s="4" t="s">
        <v>27</v>
      </c>
      <c r="B3" s="4" t="s">
        <v>10</v>
      </c>
      <c r="C3" s="7" t="s">
        <v>28</v>
      </c>
      <c r="D3" s="7" t="s">
        <v>23</v>
      </c>
      <c r="E3" s="7" t="s">
        <v>29</v>
      </c>
      <c r="F3" s="4" t="s">
        <v>25</v>
      </c>
      <c r="G3" s="4" t="s">
        <v>4</v>
      </c>
      <c r="H3" s="4" t="s">
        <v>26</v>
      </c>
      <c r="I3" s="4" t="s">
        <v>26</v>
      </c>
      <c r="J3" s="7"/>
    </row>
    <row r="4" ht="14.25" customHeight="1">
      <c r="A4" s="4" t="s">
        <v>30</v>
      </c>
      <c r="B4" s="4" t="s">
        <v>10</v>
      </c>
      <c r="C4" s="7" t="s">
        <v>31</v>
      </c>
      <c r="D4" s="7" t="s">
        <v>23</v>
      </c>
      <c r="E4" s="7" t="s">
        <v>32</v>
      </c>
      <c r="F4" s="4" t="s">
        <v>25</v>
      </c>
      <c r="G4" s="4" t="s">
        <v>4</v>
      </c>
      <c r="H4" s="4" t="s">
        <v>26</v>
      </c>
      <c r="I4" s="4" t="s">
        <v>26</v>
      </c>
      <c r="J4" s="7"/>
    </row>
    <row r="5" ht="14.25" customHeight="1">
      <c r="A5" s="4" t="s">
        <v>33</v>
      </c>
      <c r="B5" s="4" t="s">
        <v>10</v>
      </c>
      <c r="C5" s="7" t="s">
        <v>34</v>
      </c>
      <c r="D5" s="7" t="s">
        <v>23</v>
      </c>
      <c r="E5" s="7" t="s">
        <v>35</v>
      </c>
      <c r="F5" s="4" t="s">
        <v>25</v>
      </c>
      <c r="G5" s="4" t="s">
        <v>4</v>
      </c>
      <c r="H5" s="4" t="s">
        <v>26</v>
      </c>
      <c r="I5" s="4" t="s">
        <v>26</v>
      </c>
      <c r="J5" s="7"/>
    </row>
    <row r="6" ht="14.25" customHeight="1">
      <c r="A6" s="4" t="s">
        <v>38</v>
      </c>
      <c r="B6" s="4" t="s">
        <v>10</v>
      </c>
      <c r="C6" s="7" t="s">
        <v>39</v>
      </c>
      <c r="D6" s="7" t="s">
        <v>23</v>
      </c>
      <c r="E6" s="7" t="s">
        <v>41</v>
      </c>
      <c r="F6" s="4" t="s">
        <v>25</v>
      </c>
      <c r="G6" s="4" t="s">
        <v>4</v>
      </c>
      <c r="H6" s="4" t="s">
        <v>26</v>
      </c>
      <c r="I6" s="4" t="s">
        <v>26</v>
      </c>
      <c r="J6" s="7"/>
    </row>
    <row r="7" ht="14.25" customHeight="1">
      <c r="A7" s="4" t="s">
        <v>44</v>
      </c>
      <c r="B7" s="4" t="s">
        <v>10</v>
      </c>
      <c r="C7" s="7" t="s">
        <v>46</v>
      </c>
      <c r="D7" s="7" t="s">
        <v>23</v>
      </c>
      <c r="E7" s="7" t="s">
        <v>47</v>
      </c>
      <c r="F7" s="4" t="s">
        <v>25</v>
      </c>
      <c r="G7" s="4" t="s">
        <v>4</v>
      </c>
      <c r="H7" s="4" t="s">
        <v>26</v>
      </c>
      <c r="I7" s="4" t="s">
        <v>26</v>
      </c>
      <c r="J7" s="7"/>
    </row>
    <row r="8" ht="14.25" customHeight="1">
      <c r="A8" s="4" t="s">
        <v>48</v>
      </c>
      <c r="B8" s="4" t="s">
        <v>10</v>
      </c>
      <c r="C8" s="7" t="s">
        <v>49</v>
      </c>
      <c r="D8" s="7" t="s">
        <v>23</v>
      </c>
      <c r="E8" s="7" t="s">
        <v>50</v>
      </c>
      <c r="F8" s="4" t="s">
        <v>25</v>
      </c>
      <c r="G8" s="4" t="s">
        <v>4</v>
      </c>
      <c r="H8" s="4" t="s">
        <v>26</v>
      </c>
      <c r="I8" s="4" t="s">
        <v>26</v>
      </c>
      <c r="J8" s="7"/>
    </row>
    <row r="9" ht="14.25" customHeight="1">
      <c r="A9" s="4" t="s">
        <v>52</v>
      </c>
      <c r="B9" s="4" t="s">
        <v>10</v>
      </c>
      <c r="C9" s="7" t="s">
        <v>53</v>
      </c>
      <c r="D9" s="7" t="s">
        <v>23</v>
      </c>
      <c r="E9" s="7" t="s">
        <v>55</v>
      </c>
      <c r="F9" s="4" t="s">
        <v>25</v>
      </c>
      <c r="G9" s="4" t="s">
        <v>4</v>
      </c>
      <c r="H9" s="4" t="s">
        <v>26</v>
      </c>
      <c r="I9" s="4" t="s">
        <v>26</v>
      </c>
      <c r="J9" s="7"/>
    </row>
    <row r="10" ht="14.25" customHeight="1">
      <c r="A10" s="4" t="s">
        <v>57</v>
      </c>
      <c r="B10" s="4" t="s">
        <v>10</v>
      </c>
      <c r="C10" s="7" t="s">
        <v>58</v>
      </c>
      <c r="D10" s="7" t="s">
        <v>23</v>
      </c>
      <c r="E10" s="7" t="s">
        <v>60</v>
      </c>
      <c r="F10" s="4" t="s">
        <v>25</v>
      </c>
      <c r="G10" s="4" t="s">
        <v>4</v>
      </c>
      <c r="H10" s="4" t="s">
        <v>26</v>
      </c>
      <c r="I10" s="4" t="s">
        <v>26</v>
      </c>
      <c r="J10" s="7"/>
    </row>
    <row r="11" ht="14.25" customHeight="1">
      <c r="A11" s="4" t="s">
        <v>63</v>
      </c>
      <c r="B11" s="4" t="s">
        <v>10</v>
      </c>
      <c r="C11" s="7" t="s">
        <v>64</v>
      </c>
      <c r="D11" s="7" t="s">
        <v>23</v>
      </c>
      <c r="E11" s="7" t="s">
        <v>65</v>
      </c>
      <c r="F11" s="4" t="s">
        <v>25</v>
      </c>
      <c r="G11" s="4" t="s">
        <v>4</v>
      </c>
      <c r="H11" s="4" t="s">
        <v>26</v>
      </c>
      <c r="I11" s="4" t="s">
        <v>26</v>
      </c>
      <c r="J11" s="7"/>
    </row>
    <row r="12" ht="14.25" customHeight="1">
      <c r="A12" s="4" t="s">
        <v>68</v>
      </c>
      <c r="B12" s="4" t="s">
        <v>10</v>
      </c>
      <c r="C12" s="7" t="s">
        <v>69</v>
      </c>
      <c r="D12" s="7" t="s">
        <v>23</v>
      </c>
      <c r="E12" s="7" t="s">
        <v>71</v>
      </c>
      <c r="F12" s="4" t="s">
        <v>25</v>
      </c>
      <c r="G12" s="4" t="s">
        <v>4</v>
      </c>
      <c r="H12" s="4" t="s">
        <v>26</v>
      </c>
      <c r="I12" s="4" t="s">
        <v>26</v>
      </c>
      <c r="J12" s="7"/>
    </row>
    <row r="13" ht="14.25" customHeight="1">
      <c r="A13" s="4" t="s">
        <v>74</v>
      </c>
      <c r="B13" s="4" t="s">
        <v>10</v>
      </c>
      <c r="C13" s="7" t="s">
        <v>75</v>
      </c>
      <c r="D13" s="7" t="s">
        <v>23</v>
      </c>
      <c r="E13" s="7" t="s">
        <v>77</v>
      </c>
      <c r="F13" s="4" t="s">
        <v>25</v>
      </c>
      <c r="G13" s="4" t="s">
        <v>4</v>
      </c>
      <c r="H13" s="4" t="s">
        <v>26</v>
      </c>
      <c r="I13" s="4" t="s">
        <v>26</v>
      </c>
      <c r="J13" s="7"/>
    </row>
    <row r="14" ht="14.25" customHeight="1">
      <c r="A14" s="4" t="s">
        <v>79</v>
      </c>
      <c r="B14" s="4" t="s">
        <v>10</v>
      </c>
      <c r="C14" s="7" t="s">
        <v>80</v>
      </c>
      <c r="D14" s="7" t="s">
        <v>23</v>
      </c>
      <c r="E14" s="7" t="s">
        <v>82</v>
      </c>
      <c r="F14" s="4" t="s">
        <v>25</v>
      </c>
      <c r="G14" s="4" t="s">
        <v>4</v>
      </c>
      <c r="H14" s="4" t="s">
        <v>26</v>
      </c>
      <c r="I14" s="4" t="s">
        <v>26</v>
      </c>
      <c r="J14" s="7"/>
    </row>
    <row r="15" ht="14.25" customHeight="1">
      <c r="A15" s="4" t="s">
        <v>83</v>
      </c>
      <c r="B15" s="4" t="s">
        <v>10</v>
      </c>
      <c r="C15" s="7" t="s">
        <v>85</v>
      </c>
      <c r="D15" s="7" t="s">
        <v>23</v>
      </c>
      <c r="E15" s="7" t="s">
        <v>86</v>
      </c>
      <c r="F15" s="4" t="s">
        <v>25</v>
      </c>
      <c r="G15" s="4" t="s">
        <v>4</v>
      </c>
      <c r="H15" s="4" t="s">
        <v>26</v>
      </c>
      <c r="I15" s="4" t="s">
        <v>26</v>
      </c>
      <c r="J15" s="7"/>
    </row>
    <row r="16" ht="14.25" customHeight="1">
      <c r="A16" s="4" t="s">
        <v>87</v>
      </c>
      <c r="B16" s="4" t="s">
        <v>10</v>
      </c>
      <c r="C16" s="7" t="s">
        <v>88</v>
      </c>
      <c r="D16" s="7" t="s">
        <v>23</v>
      </c>
      <c r="E16" s="7" t="s">
        <v>89</v>
      </c>
      <c r="F16" s="4" t="s">
        <v>25</v>
      </c>
      <c r="G16" s="4" t="s">
        <v>4</v>
      </c>
      <c r="H16" s="4" t="s">
        <v>26</v>
      </c>
      <c r="I16" s="4" t="s">
        <v>26</v>
      </c>
      <c r="J16" s="7"/>
    </row>
    <row r="17" ht="14.25" customHeight="1">
      <c r="A17" s="4" t="s">
        <v>90</v>
      </c>
      <c r="B17" s="4" t="s">
        <v>10</v>
      </c>
      <c r="C17" s="7" t="s">
        <v>91</v>
      </c>
      <c r="D17" s="7" t="s">
        <v>23</v>
      </c>
      <c r="E17" s="7" t="s">
        <v>92</v>
      </c>
      <c r="F17" s="4" t="s">
        <v>25</v>
      </c>
      <c r="G17" s="4" t="s">
        <v>4</v>
      </c>
      <c r="H17" s="4" t="s">
        <v>26</v>
      </c>
      <c r="I17" s="4" t="s">
        <v>26</v>
      </c>
      <c r="J17" s="7"/>
    </row>
    <row r="18" ht="14.25" customHeight="1">
      <c r="A18" s="4" t="s">
        <v>93</v>
      </c>
      <c r="B18" s="4" t="s">
        <v>10</v>
      </c>
      <c r="C18" s="7" t="s">
        <v>94</v>
      </c>
      <c r="D18" s="7" t="s">
        <v>23</v>
      </c>
      <c r="E18" s="7" t="s">
        <v>95</v>
      </c>
      <c r="F18" s="4" t="s">
        <v>25</v>
      </c>
      <c r="G18" s="4" t="s">
        <v>4</v>
      </c>
      <c r="H18" s="4" t="s">
        <v>26</v>
      </c>
      <c r="I18" s="4" t="s">
        <v>26</v>
      </c>
      <c r="J18" s="7"/>
    </row>
    <row r="19" ht="14.25" customHeight="1">
      <c r="A19" s="4" t="s">
        <v>96</v>
      </c>
      <c r="B19" s="4" t="s">
        <v>10</v>
      </c>
      <c r="C19" s="7" t="s">
        <v>97</v>
      </c>
      <c r="D19" s="7" t="s">
        <v>23</v>
      </c>
      <c r="E19" s="7" t="s">
        <v>98</v>
      </c>
      <c r="F19" s="4" t="s">
        <v>25</v>
      </c>
      <c r="G19" s="4" t="s">
        <v>4</v>
      </c>
      <c r="H19" s="4" t="s">
        <v>26</v>
      </c>
      <c r="I19" s="4" t="s">
        <v>26</v>
      </c>
      <c r="J19" s="7"/>
    </row>
    <row r="20" ht="14.25" customHeight="1">
      <c r="A20" s="4" t="s">
        <v>99</v>
      </c>
      <c r="B20" s="4" t="s">
        <v>10</v>
      </c>
      <c r="C20" s="7" t="s">
        <v>101</v>
      </c>
      <c r="D20" s="7" t="s">
        <v>23</v>
      </c>
      <c r="E20" s="7" t="s">
        <v>102</v>
      </c>
      <c r="F20" s="4" t="s">
        <v>25</v>
      </c>
      <c r="G20" s="4" t="s">
        <v>4</v>
      </c>
      <c r="H20" s="4" t="s">
        <v>26</v>
      </c>
      <c r="I20" s="4" t="s">
        <v>26</v>
      </c>
      <c r="J20" s="7"/>
    </row>
    <row r="21" ht="14.25" customHeight="1">
      <c r="A21" s="4" t="s">
        <v>104</v>
      </c>
      <c r="B21" s="4" t="s">
        <v>10</v>
      </c>
      <c r="C21" s="7" t="s">
        <v>105</v>
      </c>
      <c r="D21" s="7" t="s">
        <v>23</v>
      </c>
      <c r="E21" s="7" t="s">
        <v>106</v>
      </c>
      <c r="F21" s="4" t="s">
        <v>25</v>
      </c>
      <c r="G21" s="4" t="s">
        <v>4</v>
      </c>
      <c r="H21" s="4" t="s">
        <v>26</v>
      </c>
      <c r="I21" s="4" t="s">
        <v>26</v>
      </c>
      <c r="J21" s="7"/>
    </row>
    <row r="22" ht="14.25" customHeight="1">
      <c r="A22" s="4" t="s">
        <v>107</v>
      </c>
      <c r="B22" s="4" t="s">
        <v>10</v>
      </c>
      <c r="C22" s="7" t="s">
        <v>108</v>
      </c>
      <c r="D22" s="7" t="s">
        <v>23</v>
      </c>
      <c r="E22" s="7" t="s">
        <v>109</v>
      </c>
      <c r="F22" s="4" t="s">
        <v>25</v>
      </c>
      <c r="G22" s="4" t="s">
        <v>4</v>
      </c>
      <c r="H22" s="4" t="s">
        <v>26</v>
      </c>
      <c r="I22" s="4" t="s">
        <v>26</v>
      </c>
      <c r="J22" s="7"/>
    </row>
    <row r="23" ht="14.25" customHeight="1">
      <c r="A23" s="4" t="s">
        <v>110</v>
      </c>
      <c r="B23" s="4" t="s">
        <v>10</v>
      </c>
      <c r="C23" s="7" t="s">
        <v>111</v>
      </c>
      <c r="D23" s="7" t="s">
        <v>23</v>
      </c>
      <c r="E23" s="7" t="s">
        <v>112</v>
      </c>
      <c r="F23" s="4" t="s">
        <v>25</v>
      </c>
      <c r="G23" s="4" t="s">
        <v>4</v>
      </c>
      <c r="H23" s="4" t="s">
        <v>26</v>
      </c>
      <c r="I23" s="4" t="s">
        <v>26</v>
      </c>
      <c r="J23" s="7"/>
    </row>
    <row r="24" ht="14.25" customHeight="1">
      <c r="A24" s="4" t="s">
        <v>113</v>
      </c>
      <c r="B24" s="4" t="s">
        <v>10</v>
      </c>
      <c r="C24" s="7" t="s">
        <v>114</v>
      </c>
      <c r="D24" s="7" t="s">
        <v>23</v>
      </c>
      <c r="E24" s="7" t="s">
        <v>115</v>
      </c>
      <c r="F24" s="4" t="s">
        <v>25</v>
      </c>
      <c r="G24" s="4" t="s">
        <v>4</v>
      </c>
      <c r="H24" s="4" t="s">
        <v>26</v>
      </c>
      <c r="I24" s="4" t="s">
        <v>26</v>
      </c>
      <c r="J24" s="7"/>
    </row>
    <row r="25" ht="14.25" customHeight="1">
      <c r="A25" s="4" t="s">
        <v>116</v>
      </c>
      <c r="B25" s="4" t="s">
        <v>10</v>
      </c>
      <c r="C25" s="7" t="s">
        <v>117</v>
      </c>
      <c r="D25" s="7" t="s">
        <v>23</v>
      </c>
      <c r="E25" s="7" t="s">
        <v>118</v>
      </c>
      <c r="F25" s="4" t="s">
        <v>25</v>
      </c>
      <c r="G25" s="4" t="s">
        <v>4</v>
      </c>
      <c r="H25" s="4" t="s">
        <v>26</v>
      </c>
      <c r="I25" s="4" t="s">
        <v>26</v>
      </c>
      <c r="J25" s="7"/>
    </row>
    <row r="26" ht="14.25" customHeight="1">
      <c r="A26" s="4" t="s">
        <v>119</v>
      </c>
      <c r="B26" s="4" t="s">
        <v>10</v>
      </c>
      <c r="C26" s="7" t="s">
        <v>120</v>
      </c>
      <c r="D26" s="7" t="s">
        <v>23</v>
      </c>
      <c r="E26" s="7" t="s">
        <v>121</v>
      </c>
      <c r="F26" s="4" t="s">
        <v>25</v>
      </c>
      <c r="G26" s="4" t="s">
        <v>4</v>
      </c>
      <c r="H26" s="4" t="s">
        <v>26</v>
      </c>
      <c r="I26" s="4" t="s">
        <v>26</v>
      </c>
      <c r="J26" s="7"/>
    </row>
    <row r="27" ht="14.25" customHeight="1">
      <c r="A27" s="4" t="s">
        <v>122</v>
      </c>
      <c r="B27" s="4" t="s">
        <v>10</v>
      </c>
      <c r="C27" s="7" t="s">
        <v>123</v>
      </c>
      <c r="D27" s="7" t="s">
        <v>23</v>
      </c>
      <c r="E27" s="7" t="s">
        <v>124</v>
      </c>
      <c r="F27" s="4" t="s">
        <v>25</v>
      </c>
      <c r="G27" s="4" t="s">
        <v>4</v>
      </c>
      <c r="H27" s="4" t="s">
        <v>26</v>
      </c>
      <c r="I27" s="4" t="s">
        <v>26</v>
      </c>
      <c r="J27" s="7"/>
    </row>
    <row r="28" ht="14.25" customHeight="1">
      <c r="A28" s="4" t="s">
        <v>125</v>
      </c>
      <c r="B28" s="4" t="s">
        <v>10</v>
      </c>
      <c r="C28" s="7" t="s">
        <v>126</v>
      </c>
      <c r="D28" s="7" t="s">
        <v>23</v>
      </c>
      <c r="E28" s="7" t="s">
        <v>127</v>
      </c>
      <c r="F28" s="4" t="s">
        <v>25</v>
      </c>
      <c r="G28" s="4" t="s">
        <v>4</v>
      </c>
      <c r="H28" s="4" t="s">
        <v>26</v>
      </c>
      <c r="I28" s="4" t="s">
        <v>26</v>
      </c>
      <c r="J28" s="7"/>
    </row>
    <row r="29" ht="14.25" customHeight="1">
      <c r="A29" s="4" t="s">
        <v>128</v>
      </c>
      <c r="B29" s="4" t="s">
        <v>10</v>
      </c>
      <c r="C29" s="7" t="s">
        <v>130</v>
      </c>
      <c r="D29" s="7" t="s">
        <v>23</v>
      </c>
      <c r="E29" s="7" t="s">
        <v>131</v>
      </c>
      <c r="F29" s="4" t="s">
        <v>25</v>
      </c>
      <c r="G29" s="4" t="s">
        <v>4</v>
      </c>
      <c r="H29" s="4" t="s">
        <v>26</v>
      </c>
      <c r="I29" s="4" t="s">
        <v>26</v>
      </c>
      <c r="J29" s="7"/>
    </row>
    <row r="30" ht="14.25" customHeight="1">
      <c r="A30" s="4" t="s">
        <v>132</v>
      </c>
      <c r="B30" s="4" t="s">
        <v>10</v>
      </c>
      <c r="C30" s="7" t="s">
        <v>133</v>
      </c>
      <c r="D30" s="7" t="s">
        <v>23</v>
      </c>
      <c r="E30" s="7" t="s">
        <v>134</v>
      </c>
      <c r="F30" s="4" t="s">
        <v>25</v>
      </c>
      <c r="G30" s="4" t="s">
        <v>4</v>
      </c>
      <c r="H30" s="4" t="s">
        <v>26</v>
      </c>
      <c r="I30" s="4" t="s">
        <v>26</v>
      </c>
      <c r="J30" s="7"/>
    </row>
    <row r="31" ht="14.25" customHeight="1">
      <c r="A31" s="4" t="s">
        <v>135</v>
      </c>
      <c r="B31" s="4" t="s">
        <v>10</v>
      </c>
      <c r="C31" s="7" t="s">
        <v>136</v>
      </c>
      <c r="D31" s="7" t="s">
        <v>23</v>
      </c>
      <c r="E31" s="7" t="s">
        <v>137</v>
      </c>
      <c r="F31" s="4" t="s">
        <v>25</v>
      </c>
      <c r="G31" s="4" t="s">
        <v>4</v>
      </c>
      <c r="H31" s="4" t="s">
        <v>26</v>
      </c>
      <c r="I31" s="4" t="s">
        <v>26</v>
      </c>
      <c r="J31" s="7"/>
    </row>
    <row r="32" ht="14.25" customHeight="1">
      <c r="A32" s="4" t="s">
        <v>138</v>
      </c>
      <c r="B32" s="4" t="s">
        <v>10</v>
      </c>
      <c r="C32" s="7" t="s">
        <v>139</v>
      </c>
      <c r="D32" s="7" t="s">
        <v>23</v>
      </c>
      <c r="E32" s="7" t="s">
        <v>140</v>
      </c>
      <c r="F32" s="4" t="s">
        <v>25</v>
      </c>
      <c r="G32" s="4" t="s">
        <v>4</v>
      </c>
      <c r="H32" s="4" t="s">
        <v>26</v>
      </c>
      <c r="I32" s="4" t="s">
        <v>26</v>
      </c>
      <c r="J32" s="7"/>
    </row>
    <row r="33" ht="14.25" customHeight="1">
      <c r="A33" s="4" t="s">
        <v>141</v>
      </c>
      <c r="B33" s="4" t="s">
        <v>10</v>
      </c>
      <c r="C33" s="7" t="s">
        <v>142</v>
      </c>
      <c r="D33" s="7" t="s">
        <v>23</v>
      </c>
      <c r="E33" s="7" t="s">
        <v>143</v>
      </c>
      <c r="F33" s="4" t="s">
        <v>25</v>
      </c>
      <c r="G33" s="4" t="s">
        <v>4</v>
      </c>
      <c r="H33" s="4" t="s">
        <v>26</v>
      </c>
      <c r="I33" s="4" t="s">
        <v>26</v>
      </c>
      <c r="J33" s="7"/>
    </row>
    <row r="34" ht="14.25" customHeight="1">
      <c r="A34" s="4" t="s">
        <v>144</v>
      </c>
      <c r="B34" s="4" t="s">
        <v>10</v>
      </c>
      <c r="C34" s="7" t="s">
        <v>145</v>
      </c>
      <c r="D34" s="7" t="s">
        <v>23</v>
      </c>
      <c r="E34" s="7" t="s">
        <v>146</v>
      </c>
      <c r="F34" s="4" t="s">
        <v>25</v>
      </c>
      <c r="G34" s="4" t="s">
        <v>4</v>
      </c>
      <c r="H34" s="4" t="s">
        <v>26</v>
      </c>
      <c r="I34" s="4" t="s">
        <v>26</v>
      </c>
      <c r="J34" s="7"/>
    </row>
    <row r="35" ht="14.25" customHeight="1">
      <c r="A35" s="4" t="s">
        <v>147</v>
      </c>
      <c r="B35" s="4" t="s">
        <v>10</v>
      </c>
      <c r="C35" s="7" t="s">
        <v>148</v>
      </c>
      <c r="D35" s="7" t="s">
        <v>23</v>
      </c>
      <c r="E35" s="7" t="s">
        <v>149</v>
      </c>
      <c r="F35" s="4" t="s">
        <v>25</v>
      </c>
      <c r="G35" s="4" t="s">
        <v>4</v>
      </c>
      <c r="H35" s="4" t="s">
        <v>26</v>
      </c>
      <c r="I35" s="4" t="s">
        <v>26</v>
      </c>
      <c r="J35" s="7"/>
    </row>
    <row r="36" ht="14.25" customHeight="1">
      <c r="A36" s="4" t="s">
        <v>150</v>
      </c>
      <c r="B36" s="4" t="s">
        <v>10</v>
      </c>
      <c r="C36" s="7" t="s">
        <v>151</v>
      </c>
      <c r="D36" s="7" t="s">
        <v>23</v>
      </c>
      <c r="E36" s="7" t="s">
        <v>152</v>
      </c>
      <c r="F36" s="4" t="s">
        <v>25</v>
      </c>
      <c r="G36" s="4" t="s">
        <v>4</v>
      </c>
      <c r="H36" s="4" t="s">
        <v>26</v>
      </c>
      <c r="I36" s="4" t="s">
        <v>26</v>
      </c>
      <c r="J36" s="7"/>
    </row>
    <row r="37" ht="14.25" customHeight="1">
      <c r="A37" s="4" t="s">
        <v>153</v>
      </c>
      <c r="B37" s="4" t="s">
        <v>10</v>
      </c>
      <c r="C37" s="7" t="s">
        <v>154</v>
      </c>
      <c r="D37" s="7" t="s">
        <v>23</v>
      </c>
      <c r="E37" s="7" t="s">
        <v>155</v>
      </c>
      <c r="F37" s="4" t="s">
        <v>25</v>
      </c>
      <c r="G37" s="4" t="s">
        <v>4</v>
      </c>
      <c r="H37" s="4" t="s">
        <v>26</v>
      </c>
      <c r="I37" s="4" t="s">
        <v>26</v>
      </c>
      <c r="J37" s="7"/>
    </row>
    <row r="38" ht="14.25" customHeight="1">
      <c r="A38" s="4" t="s">
        <v>156</v>
      </c>
      <c r="B38" s="4" t="s">
        <v>10</v>
      </c>
      <c r="C38" s="7" t="s">
        <v>157</v>
      </c>
      <c r="D38" s="7" t="s">
        <v>23</v>
      </c>
      <c r="E38" s="7" t="s">
        <v>158</v>
      </c>
      <c r="F38" s="4" t="s">
        <v>25</v>
      </c>
      <c r="G38" s="4" t="s">
        <v>4</v>
      </c>
      <c r="H38" s="4" t="s">
        <v>26</v>
      </c>
      <c r="I38" s="4" t="s">
        <v>26</v>
      </c>
      <c r="J38" s="7"/>
    </row>
    <row r="39" ht="14.25" customHeight="1">
      <c r="A39" s="4" t="s">
        <v>159</v>
      </c>
      <c r="B39" s="4" t="s">
        <v>10</v>
      </c>
      <c r="C39" s="7" t="s">
        <v>160</v>
      </c>
      <c r="D39" s="7" t="s">
        <v>23</v>
      </c>
      <c r="E39" s="7" t="s">
        <v>161</v>
      </c>
      <c r="F39" s="4" t="s">
        <v>25</v>
      </c>
      <c r="G39" s="4" t="s">
        <v>4</v>
      </c>
      <c r="H39" s="4" t="s">
        <v>26</v>
      </c>
      <c r="I39" s="4" t="s">
        <v>26</v>
      </c>
      <c r="J39" s="7"/>
    </row>
    <row r="40" ht="14.25" customHeight="1">
      <c r="A40" s="4" t="s">
        <v>162</v>
      </c>
      <c r="B40" s="4" t="s">
        <v>10</v>
      </c>
      <c r="C40" s="7" t="s">
        <v>163</v>
      </c>
      <c r="D40" s="7" t="s">
        <v>23</v>
      </c>
      <c r="E40" s="7" t="s">
        <v>164</v>
      </c>
      <c r="F40" s="4" t="s">
        <v>25</v>
      </c>
      <c r="G40" s="4" t="s">
        <v>4</v>
      </c>
      <c r="H40" s="4" t="s">
        <v>26</v>
      </c>
      <c r="I40" s="4" t="s">
        <v>26</v>
      </c>
      <c r="J40" s="7"/>
    </row>
    <row r="41" ht="14.25" customHeight="1">
      <c r="A41" s="4" t="s">
        <v>165</v>
      </c>
      <c r="B41" s="4" t="s">
        <v>10</v>
      </c>
      <c r="C41" s="7" t="s">
        <v>166</v>
      </c>
      <c r="D41" s="7" t="s">
        <v>23</v>
      </c>
      <c r="E41" s="7" t="s">
        <v>167</v>
      </c>
      <c r="F41" s="4" t="s">
        <v>25</v>
      </c>
      <c r="G41" s="4" t="s">
        <v>4</v>
      </c>
      <c r="H41" s="4" t="s">
        <v>26</v>
      </c>
      <c r="I41" s="4" t="s">
        <v>26</v>
      </c>
      <c r="J41" s="7"/>
    </row>
    <row r="42" ht="14.25" customHeight="1">
      <c r="A42" s="4" t="s">
        <v>168</v>
      </c>
      <c r="B42" s="4" t="s">
        <v>10</v>
      </c>
      <c r="C42" s="7" t="s">
        <v>169</v>
      </c>
      <c r="D42" s="7" t="s">
        <v>23</v>
      </c>
      <c r="E42" s="7" t="s">
        <v>170</v>
      </c>
      <c r="F42" s="4" t="s">
        <v>25</v>
      </c>
      <c r="G42" s="4" t="s">
        <v>4</v>
      </c>
      <c r="H42" s="4" t="s">
        <v>26</v>
      </c>
      <c r="I42" s="4" t="s">
        <v>26</v>
      </c>
      <c r="J42" s="7"/>
    </row>
    <row r="43" ht="14.25" customHeight="1">
      <c r="A43" s="4" t="s">
        <v>171</v>
      </c>
      <c r="B43" s="4" t="s">
        <v>10</v>
      </c>
      <c r="C43" s="7" t="s">
        <v>172</v>
      </c>
      <c r="D43" s="7" t="s">
        <v>23</v>
      </c>
      <c r="E43" s="7" t="s">
        <v>173</v>
      </c>
      <c r="F43" s="4" t="s">
        <v>25</v>
      </c>
      <c r="G43" s="4" t="s">
        <v>4</v>
      </c>
      <c r="H43" s="4" t="s">
        <v>26</v>
      </c>
      <c r="I43" s="4" t="s">
        <v>26</v>
      </c>
      <c r="J43" s="7"/>
    </row>
    <row r="44" ht="14.25" customHeight="1">
      <c r="A44" s="4" t="s">
        <v>174</v>
      </c>
      <c r="B44" s="4" t="s">
        <v>10</v>
      </c>
      <c r="C44" s="7" t="s">
        <v>175</v>
      </c>
      <c r="D44" s="7" t="s">
        <v>23</v>
      </c>
      <c r="E44" s="7" t="s">
        <v>176</v>
      </c>
      <c r="F44" s="4" t="s">
        <v>25</v>
      </c>
      <c r="G44" s="4" t="s">
        <v>4</v>
      </c>
      <c r="H44" s="4" t="s">
        <v>26</v>
      </c>
      <c r="I44" s="4" t="s">
        <v>26</v>
      </c>
      <c r="J44" s="7"/>
    </row>
    <row r="45" ht="14.25" customHeight="1">
      <c r="A45" s="4" t="s">
        <v>177</v>
      </c>
      <c r="B45" s="4" t="s">
        <v>10</v>
      </c>
      <c r="C45" s="7" t="s">
        <v>178</v>
      </c>
      <c r="D45" s="7" t="s">
        <v>23</v>
      </c>
      <c r="E45" s="7" t="s">
        <v>179</v>
      </c>
      <c r="F45" s="4" t="s">
        <v>25</v>
      </c>
      <c r="G45" s="4" t="s">
        <v>4</v>
      </c>
      <c r="H45" s="4" t="s">
        <v>26</v>
      </c>
      <c r="I45" s="4" t="s">
        <v>26</v>
      </c>
      <c r="J45" s="7"/>
    </row>
    <row r="46" ht="14.25" customHeight="1">
      <c r="A46" s="4" t="s">
        <v>180</v>
      </c>
      <c r="B46" s="4" t="s">
        <v>10</v>
      </c>
      <c r="C46" s="7" t="s">
        <v>181</v>
      </c>
      <c r="D46" s="7" t="s">
        <v>23</v>
      </c>
      <c r="E46" s="7" t="s">
        <v>182</v>
      </c>
      <c r="F46" s="4" t="s">
        <v>25</v>
      </c>
      <c r="G46" s="4" t="s">
        <v>4</v>
      </c>
      <c r="H46" s="4" t="s">
        <v>26</v>
      </c>
      <c r="I46" s="4" t="s">
        <v>26</v>
      </c>
      <c r="J46" s="7"/>
    </row>
    <row r="47" ht="14.25" customHeight="1">
      <c r="A47" s="4" t="s">
        <v>183</v>
      </c>
      <c r="B47" s="4" t="s">
        <v>10</v>
      </c>
      <c r="C47" s="7" t="s">
        <v>184</v>
      </c>
      <c r="D47" s="7" t="s">
        <v>185</v>
      </c>
      <c r="E47" s="7" t="s">
        <v>186</v>
      </c>
      <c r="F47" s="4" t="s">
        <v>25</v>
      </c>
      <c r="G47" s="4" t="s">
        <v>4</v>
      </c>
      <c r="H47" s="4" t="s">
        <v>26</v>
      </c>
      <c r="I47" s="4" t="s">
        <v>26</v>
      </c>
      <c r="J47" s="7"/>
    </row>
    <row r="48" ht="14.25" customHeight="1">
      <c r="A48" s="4" t="s">
        <v>187</v>
      </c>
      <c r="B48" s="4" t="s">
        <v>10</v>
      </c>
      <c r="C48" s="7" t="s">
        <v>188</v>
      </c>
      <c r="D48" s="7" t="s">
        <v>185</v>
      </c>
      <c r="E48" s="7" t="s">
        <v>189</v>
      </c>
      <c r="F48" s="4" t="s">
        <v>25</v>
      </c>
      <c r="G48" s="4" t="s">
        <v>4</v>
      </c>
      <c r="H48" s="4" t="s">
        <v>26</v>
      </c>
      <c r="I48" s="4" t="s">
        <v>26</v>
      </c>
      <c r="J48" s="7"/>
    </row>
    <row r="49" ht="14.25" customHeight="1">
      <c r="A49" s="4" t="s">
        <v>190</v>
      </c>
      <c r="B49" s="4" t="s">
        <v>10</v>
      </c>
      <c r="C49" s="7" t="s">
        <v>191</v>
      </c>
      <c r="D49" s="7" t="s">
        <v>185</v>
      </c>
      <c r="E49" s="7" t="s">
        <v>192</v>
      </c>
      <c r="F49" s="4" t="s">
        <v>25</v>
      </c>
      <c r="G49" s="4" t="s">
        <v>4</v>
      </c>
      <c r="H49" s="4" t="s">
        <v>26</v>
      </c>
      <c r="I49" s="4" t="s">
        <v>26</v>
      </c>
      <c r="J49" s="7"/>
    </row>
    <row r="50" ht="14.25" customHeight="1">
      <c r="A50" s="4" t="s">
        <v>193</v>
      </c>
      <c r="B50" s="4" t="s">
        <v>10</v>
      </c>
      <c r="C50" s="7" t="s">
        <v>194</v>
      </c>
      <c r="D50" s="7" t="s">
        <v>185</v>
      </c>
      <c r="E50" s="7" t="s">
        <v>195</v>
      </c>
      <c r="F50" s="4" t="s">
        <v>25</v>
      </c>
      <c r="G50" s="4" t="s">
        <v>4</v>
      </c>
      <c r="H50" s="4" t="s">
        <v>26</v>
      </c>
      <c r="I50" s="4" t="s">
        <v>26</v>
      </c>
      <c r="J50" s="7"/>
    </row>
    <row r="51" ht="14.25" customHeight="1">
      <c r="A51" s="4" t="s">
        <v>196</v>
      </c>
      <c r="B51" s="4" t="s">
        <v>10</v>
      </c>
      <c r="C51" s="7" t="s">
        <v>197</v>
      </c>
      <c r="D51" s="7" t="s">
        <v>185</v>
      </c>
      <c r="E51" s="7" t="s">
        <v>198</v>
      </c>
      <c r="F51" s="4" t="s">
        <v>25</v>
      </c>
      <c r="G51" s="4" t="s">
        <v>4</v>
      </c>
      <c r="H51" s="4" t="s">
        <v>26</v>
      </c>
      <c r="I51" s="4" t="s">
        <v>26</v>
      </c>
      <c r="J51" s="7"/>
    </row>
    <row r="52" ht="14.25" customHeight="1">
      <c r="A52" s="4" t="s">
        <v>199</v>
      </c>
      <c r="B52" s="4" t="s">
        <v>10</v>
      </c>
      <c r="C52" s="7" t="s">
        <v>200</v>
      </c>
      <c r="D52" s="7" t="s">
        <v>185</v>
      </c>
      <c r="E52" s="7" t="s">
        <v>201</v>
      </c>
      <c r="F52" s="4" t="s">
        <v>25</v>
      </c>
      <c r="G52" s="4" t="s">
        <v>4</v>
      </c>
      <c r="H52" s="4" t="s">
        <v>26</v>
      </c>
      <c r="I52" s="4" t="s">
        <v>26</v>
      </c>
      <c r="J52" s="7"/>
    </row>
    <row r="53" ht="14.25" customHeight="1">
      <c r="A53" s="4" t="s">
        <v>202</v>
      </c>
      <c r="B53" s="4" t="s">
        <v>10</v>
      </c>
      <c r="C53" s="7" t="s">
        <v>203</v>
      </c>
      <c r="D53" s="7" t="s">
        <v>185</v>
      </c>
      <c r="E53" s="7" t="s">
        <v>204</v>
      </c>
      <c r="F53" s="4" t="s">
        <v>25</v>
      </c>
      <c r="G53" s="4" t="s">
        <v>4</v>
      </c>
      <c r="H53" s="4" t="s">
        <v>26</v>
      </c>
      <c r="I53" s="4" t="s">
        <v>26</v>
      </c>
      <c r="J53" s="7"/>
    </row>
    <row r="54" ht="14.25" customHeight="1">
      <c r="A54" s="4" t="s">
        <v>205</v>
      </c>
      <c r="B54" s="4" t="s">
        <v>10</v>
      </c>
      <c r="C54" s="7" t="s">
        <v>206</v>
      </c>
      <c r="D54" s="7" t="s">
        <v>185</v>
      </c>
      <c r="E54" s="7" t="s">
        <v>207</v>
      </c>
      <c r="F54" s="4" t="s">
        <v>25</v>
      </c>
      <c r="G54" s="4" t="s">
        <v>4</v>
      </c>
      <c r="H54" s="4" t="s">
        <v>26</v>
      </c>
      <c r="I54" s="4" t="s">
        <v>26</v>
      </c>
      <c r="J54" s="7"/>
    </row>
    <row r="55" ht="14.25" customHeight="1">
      <c r="A55" s="4" t="s">
        <v>208</v>
      </c>
      <c r="B55" s="4" t="s">
        <v>10</v>
      </c>
      <c r="C55" s="7" t="s">
        <v>209</v>
      </c>
      <c r="D55" s="7" t="s">
        <v>185</v>
      </c>
      <c r="E55" s="7" t="s">
        <v>210</v>
      </c>
      <c r="F55" s="4" t="s">
        <v>25</v>
      </c>
      <c r="G55" s="4" t="s">
        <v>4</v>
      </c>
      <c r="H55" s="4" t="s">
        <v>26</v>
      </c>
      <c r="I55" s="4" t="s">
        <v>26</v>
      </c>
      <c r="J55" s="7"/>
    </row>
    <row r="56" ht="14.25" customHeight="1">
      <c r="A56" s="4" t="s">
        <v>211</v>
      </c>
      <c r="B56" s="4" t="s">
        <v>10</v>
      </c>
      <c r="C56" s="7" t="s">
        <v>212</v>
      </c>
      <c r="D56" s="7" t="s">
        <v>185</v>
      </c>
      <c r="E56" s="7" t="s">
        <v>213</v>
      </c>
      <c r="F56" s="4" t="s">
        <v>25</v>
      </c>
      <c r="G56" s="4" t="s">
        <v>4</v>
      </c>
      <c r="H56" s="4" t="s">
        <v>26</v>
      </c>
      <c r="I56" s="4" t="s">
        <v>26</v>
      </c>
      <c r="J56" s="7"/>
    </row>
    <row r="57" ht="14.25" customHeight="1">
      <c r="A57" s="4" t="s">
        <v>214</v>
      </c>
      <c r="B57" s="4" t="s">
        <v>10</v>
      </c>
      <c r="C57" s="7" t="s">
        <v>215</v>
      </c>
      <c r="D57" s="7" t="s">
        <v>185</v>
      </c>
      <c r="E57" s="7" t="s">
        <v>216</v>
      </c>
      <c r="F57" s="4" t="s">
        <v>25</v>
      </c>
      <c r="G57" s="4" t="s">
        <v>4</v>
      </c>
      <c r="H57" s="4" t="s">
        <v>26</v>
      </c>
      <c r="I57" s="4" t="s">
        <v>26</v>
      </c>
      <c r="J57" s="7"/>
    </row>
    <row r="58" ht="14.25" customHeight="1">
      <c r="A58" s="4" t="s">
        <v>217</v>
      </c>
      <c r="B58" s="4" t="s">
        <v>10</v>
      </c>
      <c r="C58" s="7" t="s">
        <v>218</v>
      </c>
      <c r="D58" s="7" t="s">
        <v>185</v>
      </c>
      <c r="E58" s="7" t="s">
        <v>219</v>
      </c>
      <c r="F58" s="4" t="s">
        <v>25</v>
      </c>
      <c r="G58" s="4" t="s">
        <v>4</v>
      </c>
      <c r="H58" s="4" t="s">
        <v>26</v>
      </c>
      <c r="I58" s="4" t="s">
        <v>26</v>
      </c>
      <c r="J58" s="7"/>
    </row>
    <row r="59" ht="14.25" customHeight="1">
      <c r="A59" s="4" t="s">
        <v>220</v>
      </c>
      <c r="B59" s="4" t="s">
        <v>10</v>
      </c>
      <c r="C59" s="7" t="s">
        <v>221</v>
      </c>
      <c r="D59" s="7" t="s">
        <v>185</v>
      </c>
      <c r="E59" s="7" t="s">
        <v>222</v>
      </c>
      <c r="F59" s="4" t="s">
        <v>25</v>
      </c>
      <c r="G59" s="4" t="s">
        <v>4</v>
      </c>
      <c r="H59" s="4" t="s">
        <v>26</v>
      </c>
      <c r="I59" s="4" t="s">
        <v>26</v>
      </c>
      <c r="J59" s="7"/>
    </row>
    <row r="60" ht="14.25" customHeight="1">
      <c r="A60" s="4" t="s">
        <v>223</v>
      </c>
      <c r="B60" s="4" t="s">
        <v>10</v>
      </c>
      <c r="C60" s="7" t="s">
        <v>224</v>
      </c>
      <c r="D60" s="7" t="s">
        <v>185</v>
      </c>
      <c r="E60" s="7" t="s">
        <v>225</v>
      </c>
      <c r="F60" s="4" t="s">
        <v>25</v>
      </c>
      <c r="G60" s="4" t="s">
        <v>4</v>
      </c>
      <c r="H60" s="4" t="s">
        <v>26</v>
      </c>
      <c r="I60" s="4" t="s">
        <v>26</v>
      </c>
      <c r="J60" s="7"/>
    </row>
    <row r="61" ht="14.25" customHeight="1">
      <c r="A61" s="4" t="s">
        <v>226</v>
      </c>
      <c r="B61" s="4" t="s">
        <v>10</v>
      </c>
      <c r="C61" s="7" t="s">
        <v>227</v>
      </c>
      <c r="D61" s="7" t="s">
        <v>185</v>
      </c>
      <c r="E61" s="7" t="s">
        <v>228</v>
      </c>
      <c r="F61" s="4" t="s">
        <v>25</v>
      </c>
      <c r="G61" s="4" t="s">
        <v>4</v>
      </c>
      <c r="H61" s="4" t="s">
        <v>26</v>
      </c>
      <c r="I61" s="4" t="s">
        <v>26</v>
      </c>
      <c r="J61" s="7"/>
    </row>
    <row r="62" ht="14.25" customHeight="1">
      <c r="A62" s="4" t="s">
        <v>229</v>
      </c>
      <c r="B62" s="4" t="s">
        <v>54</v>
      </c>
      <c r="C62" s="7" t="s">
        <v>230</v>
      </c>
      <c r="D62" s="7" t="s">
        <v>231</v>
      </c>
      <c r="E62" s="7" t="s">
        <v>232</v>
      </c>
      <c r="F62" s="4" t="s">
        <v>25</v>
      </c>
      <c r="G62" s="4" t="s">
        <v>4</v>
      </c>
      <c r="H62" s="4" t="s">
        <v>26</v>
      </c>
      <c r="I62" s="4" t="s">
        <v>26</v>
      </c>
      <c r="J62" s="7"/>
    </row>
    <row r="63" ht="14.25" customHeight="1">
      <c r="A63" s="4" t="s">
        <v>233</v>
      </c>
      <c r="B63" s="4" t="s">
        <v>54</v>
      </c>
      <c r="C63" s="7" t="s">
        <v>234</v>
      </c>
      <c r="D63" s="7" t="s">
        <v>231</v>
      </c>
      <c r="E63" s="7" t="s">
        <v>235</v>
      </c>
      <c r="F63" s="4" t="s">
        <v>25</v>
      </c>
      <c r="G63" s="4" t="s">
        <v>4</v>
      </c>
      <c r="H63" s="4" t="s">
        <v>26</v>
      </c>
      <c r="I63" s="4" t="s">
        <v>26</v>
      </c>
      <c r="J63" s="7"/>
    </row>
    <row r="64" ht="14.25" customHeight="1">
      <c r="A64" s="4" t="s">
        <v>236</v>
      </c>
      <c r="B64" s="4" t="s">
        <v>54</v>
      </c>
      <c r="C64" s="7" t="s">
        <v>237</v>
      </c>
      <c r="D64" s="7" t="s">
        <v>231</v>
      </c>
      <c r="E64" s="7" t="s">
        <v>238</v>
      </c>
      <c r="F64" s="4" t="s">
        <v>25</v>
      </c>
      <c r="G64" s="4" t="s">
        <v>4</v>
      </c>
      <c r="H64" s="4" t="s">
        <v>26</v>
      </c>
      <c r="I64" s="4" t="s">
        <v>26</v>
      </c>
      <c r="J64" s="7"/>
    </row>
    <row r="65" ht="14.25" customHeight="1">
      <c r="A65" s="4" t="s">
        <v>239</v>
      </c>
      <c r="B65" s="4" t="s">
        <v>54</v>
      </c>
      <c r="C65" s="7" t="s">
        <v>240</v>
      </c>
      <c r="D65" s="7" t="s">
        <v>231</v>
      </c>
      <c r="E65" s="7" t="s">
        <v>241</v>
      </c>
      <c r="F65" s="4" t="s">
        <v>25</v>
      </c>
      <c r="G65" s="4" t="s">
        <v>4</v>
      </c>
      <c r="H65" s="4" t="s">
        <v>26</v>
      </c>
      <c r="I65" s="4" t="s">
        <v>26</v>
      </c>
      <c r="J65" s="7"/>
    </row>
    <row r="66" ht="14.25" customHeight="1">
      <c r="A66" s="4" t="s">
        <v>242</v>
      </c>
      <c r="B66" s="4" t="s">
        <v>54</v>
      </c>
      <c r="C66" s="7" t="s">
        <v>243</v>
      </c>
      <c r="D66" s="7" t="s">
        <v>231</v>
      </c>
      <c r="E66" s="7" t="s">
        <v>244</v>
      </c>
      <c r="F66" s="4" t="s">
        <v>25</v>
      </c>
      <c r="G66" s="4" t="s">
        <v>4</v>
      </c>
      <c r="H66" s="4" t="s">
        <v>26</v>
      </c>
      <c r="I66" s="4" t="s">
        <v>26</v>
      </c>
      <c r="J66" s="7"/>
    </row>
    <row r="67" ht="14.25" customHeight="1">
      <c r="A67" s="4" t="s">
        <v>245</v>
      </c>
      <c r="B67" s="4" t="s">
        <v>54</v>
      </c>
      <c r="C67" s="7" t="s">
        <v>246</v>
      </c>
      <c r="D67" s="7" t="s">
        <v>231</v>
      </c>
      <c r="E67" s="7" t="s">
        <v>247</v>
      </c>
      <c r="F67" s="4" t="s">
        <v>25</v>
      </c>
      <c r="G67" s="4" t="s">
        <v>4</v>
      </c>
      <c r="H67" s="4" t="s">
        <v>26</v>
      </c>
      <c r="I67" s="4" t="s">
        <v>26</v>
      </c>
      <c r="J67" s="7"/>
    </row>
    <row r="68" ht="14.25" customHeight="1">
      <c r="A68" s="4" t="s">
        <v>248</v>
      </c>
      <c r="B68" s="4" t="s">
        <v>54</v>
      </c>
      <c r="C68" s="7" t="s">
        <v>249</v>
      </c>
      <c r="D68" s="7" t="s">
        <v>231</v>
      </c>
      <c r="E68" s="7" t="s">
        <v>250</v>
      </c>
      <c r="F68" s="4" t="s">
        <v>25</v>
      </c>
      <c r="G68" s="4" t="s">
        <v>4</v>
      </c>
      <c r="H68" s="4" t="s">
        <v>26</v>
      </c>
      <c r="I68" s="4" t="s">
        <v>26</v>
      </c>
      <c r="J68" s="7"/>
    </row>
    <row r="69" ht="14.25" customHeight="1">
      <c r="A69" s="4" t="s">
        <v>251</v>
      </c>
      <c r="B69" s="4" t="s">
        <v>54</v>
      </c>
      <c r="C69" s="7" t="s">
        <v>252</v>
      </c>
      <c r="D69" s="7" t="s">
        <v>231</v>
      </c>
      <c r="E69" s="7" t="s">
        <v>253</v>
      </c>
      <c r="F69" s="4" t="s">
        <v>25</v>
      </c>
      <c r="G69" s="4" t="s">
        <v>4</v>
      </c>
      <c r="H69" s="4" t="s">
        <v>26</v>
      </c>
      <c r="I69" s="4" t="s">
        <v>26</v>
      </c>
      <c r="J69" s="7"/>
    </row>
    <row r="70" ht="14.25" customHeight="1">
      <c r="A70" s="4" t="s">
        <v>254</v>
      </c>
      <c r="B70" s="4" t="s">
        <v>54</v>
      </c>
      <c r="C70" s="7" t="s">
        <v>255</v>
      </c>
      <c r="D70" s="7" t="s">
        <v>231</v>
      </c>
      <c r="E70" s="7" t="s">
        <v>256</v>
      </c>
      <c r="F70" s="4" t="s">
        <v>25</v>
      </c>
      <c r="G70" s="4" t="s">
        <v>4</v>
      </c>
      <c r="H70" s="4" t="s">
        <v>26</v>
      </c>
      <c r="I70" s="4" t="s">
        <v>26</v>
      </c>
      <c r="J70" s="7"/>
    </row>
    <row r="71" ht="14.25" customHeight="1">
      <c r="A71" s="4" t="s">
        <v>257</v>
      </c>
      <c r="B71" s="4" t="s">
        <v>54</v>
      </c>
      <c r="C71" s="7" t="s">
        <v>258</v>
      </c>
      <c r="D71" s="7" t="s">
        <v>231</v>
      </c>
      <c r="E71" s="7" t="s">
        <v>259</v>
      </c>
      <c r="F71" s="4" t="s">
        <v>25</v>
      </c>
      <c r="G71" s="4" t="s">
        <v>4</v>
      </c>
      <c r="H71" s="4" t="s">
        <v>26</v>
      </c>
      <c r="I71" s="4" t="s">
        <v>26</v>
      </c>
      <c r="J71" s="7"/>
    </row>
    <row r="72" ht="14.25" customHeight="1">
      <c r="A72" s="4" t="s">
        <v>260</v>
      </c>
      <c r="B72" s="4" t="s">
        <v>54</v>
      </c>
      <c r="C72" s="7" t="s">
        <v>261</v>
      </c>
      <c r="D72" s="7" t="s">
        <v>231</v>
      </c>
      <c r="E72" s="7" t="s">
        <v>262</v>
      </c>
      <c r="F72" s="4" t="s">
        <v>25</v>
      </c>
      <c r="G72" s="4" t="s">
        <v>4</v>
      </c>
      <c r="H72" s="4" t="s">
        <v>26</v>
      </c>
      <c r="I72" s="4" t="s">
        <v>26</v>
      </c>
      <c r="J72" s="7"/>
    </row>
    <row r="73" ht="14.25" customHeight="1">
      <c r="A73" s="4" t="s">
        <v>263</v>
      </c>
      <c r="B73" s="4" t="s">
        <v>54</v>
      </c>
      <c r="C73" s="7" t="s">
        <v>264</v>
      </c>
      <c r="D73" s="7" t="s">
        <v>231</v>
      </c>
      <c r="E73" s="7" t="s">
        <v>265</v>
      </c>
      <c r="F73" s="4" t="s">
        <v>25</v>
      </c>
      <c r="G73" s="4" t="s">
        <v>4</v>
      </c>
      <c r="H73" s="4" t="s">
        <v>26</v>
      </c>
      <c r="I73" s="4" t="s">
        <v>26</v>
      </c>
      <c r="J73" s="7"/>
    </row>
    <row r="74" ht="14.25" customHeight="1">
      <c r="A74" s="4" t="s">
        <v>266</v>
      </c>
      <c r="B74" s="4" t="s">
        <v>54</v>
      </c>
      <c r="C74" s="7" t="s">
        <v>267</v>
      </c>
      <c r="D74" s="7" t="s">
        <v>231</v>
      </c>
      <c r="E74" s="7" t="s">
        <v>268</v>
      </c>
      <c r="F74" s="4" t="s">
        <v>25</v>
      </c>
      <c r="G74" s="4" t="s">
        <v>4</v>
      </c>
      <c r="H74" s="4" t="s">
        <v>26</v>
      </c>
      <c r="I74" s="4" t="s">
        <v>26</v>
      </c>
      <c r="J74" s="7"/>
    </row>
    <row r="75" ht="14.25" customHeight="1">
      <c r="A75" s="4" t="s">
        <v>269</v>
      </c>
      <c r="B75" s="4" t="s">
        <v>54</v>
      </c>
      <c r="C75" s="7" t="s">
        <v>270</v>
      </c>
      <c r="D75" s="7" t="s">
        <v>231</v>
      </c>
      <c r="E75" s="7" t="s">
        <v>271</v>
      </c>
      <c r="F75" s="4" t="s">
        <v>25</v>
      </c>
      <c r="G75" s="4" t="s">
        <v>4</v>
      </c>
      <c r="H75" s="4" t="s">
        <v>26</v>
      </c>
      <c r="I75" s="4" t="s">
        <v>26</v>
      </c>
      <c r="J75" s="7"/>
    </row>
    <row r="76" ht="14.25" customHeight="1">
      <c r="A76" s="4" t="s">
        <v>272</v>
      </c>
      <c r="B76" s="4" t="s">
        <v>54</v>
      </c>
      <c r="C76" s="7" t="s">
        <v>273</v>
      </c>
      <c r="D76" s="7" t="s">
        <v>231</v>
      </c>
      <c r="E76" s="7" t="s">
        <v>274</v>
      </c>
      <c r="F76" s="4" t="s">
        <v>25</v>
      </c>
      <c r="G76" s="4" t="s">
        <v>4</v>
      </c>
      <c r="H76" s="4" t="s">
        <v>26</v>
      </c>
      <c r="I76" s="4" t="s">
        <v>26</v>
      </c>
      <c r="J76" s="7"/>
    </row>
    <row r="77" ht="14.25" customHeight="1">
      <c r="A77" s="4" t="s">
        <v>275</v>
      </c>
      <c r="B77" s="4" t="s">
        <v>54</v>
      </c>
      <c r="C77" s="7" t="s">
        <v>276</v>
      </c>
      <c r="D77" s="7" t="s">
        <v>231</v>
      </c>
      <c r="E77" s="7" t="s">
        <v>277</v>
      </c>
      <c r="F77" s="4" t="s">
        <v>25</v>
      </c>
      <c r="G77" s="4" t="s">
        <v>4</v>
      </c>
      <c r="H77" s="4" t="s">
        <v>26</v>
      </c>
      <c r="I77" s="4" t="s">
        <v>26</v>
      </c>
      <c r="J77" s="7"/>
    </row>
    <row r="78" ht="14.25" customHeight="1">
      <c r="A78" s="4" t="s">
        <v>278</v>
      </c>
      <c r="B78" s="4" t="s">
        <v>54</v>
      </c>
      <c r="C78" s="7" t="s">
        <v>279</v>
      </c>
      <c r="D78" s="7" t="s">
        <v>231</v>
      </c>
      <c r="E78" s="7" t="s">
        <v>280</v>
      </c>
      <c r="F78" s="4" t="s">
        <v>25</v>
      </c>
      <c r="G78" s="4" t="s">
        <v>4</v>
      </c>
      <c r="H78" s="4" t="s">
        <v>26</v>
      </c>
      <c r="I78" s="4" t="s">
        <v>26</v>
      </c>
      <c r="J78" s="7"/>
    </row>
    <row r="79" ht="14.25" customHeight="1">
      <c r="A79" s="4" t="s">
        <v>281</v>
      </c>
      <c r="B79" s="4" t="s">
        <v>54</v>
      </c>
      <c r="C79" s="7" t="s">
        <v>282</v>
      </c>
      <c r="D79" s="7" t="s">
        <v>231</v>
      </c>
      <c r="E79" s="7" t="s">
        <v>283</v>
      </c>
      <c r="F79" s="4" t="s">
        <v>25</v>
      </c>
      <c r="G79" s="4" t="s">
        <v>4</v>
      </c>
      <c r="H79" s="4" t="s">
        <v>26</v>
      </c>
      <c r="I79" s="4" t="s">
        <v>26</v>
      </c>
      <c r="J79" s="7"/>
    </row>
    <row r="80" ht="14.25" customHeight="1">
      <c r="A80" s="4" t="s">
        <v>284</v>
      </c>
      <c r="B80" s="4" t="s">
        <v>54</v>
      </c>
      <c r="C80" s="7" t="s">
        <v>285</v>
      </c>
      <c r="D80" s="7" t="s">
        <v>231</v>
      </c>
      <c r="E80" s="7" t="s">
        <v>286</v>
      </c>
      <c r="F80" s="4" t="s">
        <v>25</v>
      </c>
      <c r="G80" s="4" t="s">
        <v>4</v>
      </c>
      <c r="H80" s="4" t="s">
        <v>26</v>
      </c>
      <c r="I80" s="4" t="s">
        <v>26</v>
      </c>
      <c r="J80" s="7"/>
    </row>
    <row r="81" ht="14.25" customHeight="1">
      <c r="A81" s="4" t="s">
        <v>287</v>
      </c>
      <c r="B81" s="4" t="s">
        <v>54</v>
      </c>
      <c r="C81" s="7" t="s">
        <v>288</v>
      </c>
      <c r="D81" s="7" t="s">
        <v>231</v>
      </c>
      <c r="E81" s="7" t="s">
        <v>289</v>
      </c>
      <c r="F81" s="4" t="s">
        <v>25</v>
      </c>
      <c r="G81" s="4" t="s">
        <v>4</v>
      </c>
      <c r="H81" s="4" t="s">
        <v>26</v>
      </c>
      <c r="I81" s="4" t="s">
        <v>26</v>
      </c>
      <c r="J81" s="7" t="s">
        <v>290</v>
      </c>
    </row>
    <row r="82" ht="14.25" customHeight="1">
      <c r="A82" s="4" t="s">
        <v>291</v>
      </c>
      <c r="B82" s="4" t="s">
        <v>54</v>
      </c>
      <c r="C82" s="7" t="s">
        <v>292</v>
      </c>
      <c r="D82" s="7" t="s">
        <v>231</v>
      </c>
      <c r="E82" s="7" t="s">
        <v>293</v>
      </c>
      <c r="F82" s="4" t="s">
        <v>25</v>
      </c>
      <c r="G82" s="4" t="s">
        <v>4</v>
      </c>
      <c r="H82" s="4" t="s">
        <v>26</v>
      </c>
      <c r="I82" s="4" t="s">
        <v>26</v>
      </c>
      <c r="J82" s="7"/>
    </row>
    <row r="83" ht="14.25" customHeight="1">
      <c r="A83" s="4" t="s">
        <v>294</v>
      </c>
      <c r="B83" s="4" t="s">
        <v>54</v>
      </c>
      <c r="C83" s="7" t="s">
        <v>295</v>
      </c>
      <c r="D83" s="7" t="s">
        <v>231</v>
      </c>
      <c r="E83" s="7" t="s">
        <v>296</v>
      </c>
      <c r="F83" s="4" t="s">
        <v>25</v>
      </c>
      <c r="G83" s="4" t="s">
        <v>4</v>
      </c>
      <c r="H83" s="4" t="s">
        <v>26</v>
      </c>
      <c r="I83" s="4" t="s">
        <v>26</v>
      </c>
      <c r="J83" s="7"/>
    </row>
    <row r="84" ht="14.25" customHeight="1">
      <c r="A84" s="4" t="s">
        <v>297</v>
      </c>
      <c r="B84" s="4" t="s">
        <v>54</v>
      </c>
      <c r="C84" s="7" t="s">
        <v>298</v>
      </c>
      <c r="D84" s="7" t="s">
        <v>231</v>
      </c>
      <c r="E84" s="7" t="s">
        <v>299</v>
      </c>
      <c r="F84" s="4" t="s">
        <v>25</v>
      </c>
      <c r="G84" s="4" t="s">
        <v>4</v>
      </c>
      <c r="H84" s="4" t="s">
        <v>26</v>
      </c>
      <c r="I84" s="4" t="s">
        <v>26</v>
      </c>
      <c r="J84" s="7"/>
    </row>
    <row r="85" ht="14.25" customHeight="1">
      <c r="A85" s="4" t="s">
        <v>300</v>
      </c>
      <c r="B85" s="4" t="s">
        <v>54</v>
      </c>
      <c r="C85" s="7" t="s">
        <v>301</v>
      </c>
      <c r="D85" s="7" t="s">
        <v>231</v>
      </c>
      <c r="E85" s="7" t="s">
        <v>302</v>
      </c>
      <c r="F85" s="4" t="s">
        <v>25</v>
      </c>
      <c r="G85" s="4" t="s">
        <v>4</v>
      </c>
      <c r="H85" s="4" t="s">
        <v>26</v>
      </c>
      <c r="I85" s="4" t="s">
        <v>26</v>
      </c>
      <c r="J85" s="7"/>
    </row>
    <row r="86" ht="14.25" customHeight="1">
      <c r="A86" s="4" t="s">
        <v>303</v>
      </c>
      <c r="B86" s="4" t="s">
        <v>54</v>
      </c>
      <c r="C86" s="7" t="s">
        <v>304</v>
      </c>
      <c r="D86" s="7" t="s">
        <v>231</v>
      </c>
      <c r="E86" s="7" t="s">
        <v>305</v>
      </c>
      <c r="F86" s="4" t="s">
        <v>25</v>
      </c>
      <c r="G86" s="4" t="s">
        <v>4</v>
      </c>
      <c r="H86" s="4" t="s">
        <v>26</v>
      </c>
      <c r="I86" s="4" t="s">
        <v>26</v>
      </c>
      <c r="J86" s="7"/>
    </row>
    <row r="87" ht="14.25" customHeight="1">
      <c r="A87" s="4" t="s">
        <v>306</v>
      </c>
      <c r="B87" s="4" t="s">
        <v>54</v>
      </c>
      <c r="C87" s="7" t="s">
        <v>307</v>
      </c>
      <c r="D87" s="7" t="s">
        <v>231</v>
      </c>
      <c r="E87" s="7" t="s">
        <v>308</v>
      </c>
      <c r="F87" s="4" t="s">
        <v>25</v>
      </c>
      <c r="G87" s="4" t="s">
        <v>4</v>
      </c>
      <c r="H87" s="4" t="s">
        <v>26</v>
      </c>
      <c r="I87" s="4" t="s">
        <v>26</v>
      </c>
      <c r="J87" s="7"/>
    </row>
    <row r="88" ht="14.25" customHeight="1">
      <c r="A88" s="4" t="s">
        <v>309</v>
      </c>
      <c r="B88" s="4" t="s">
        <v>54</v>
      </c>
      <c r="C88" s="7" t="s">
        <v>310</v>
      </c>
      <c r="D88" s="7" t="s">
        <v>231</v>
      </c>
      <c r="E88" s="7" t="s">
        <v>311</v>
      </c>
      <c r="F88" s="4" t="s">
        <v>25</v>
      </c>
      <c r="G88" s="4" t="s">
        <v>4</v>
      </c>
      <c r="H88" s="4" t="s">
        <v>26</v>
      </c>
      <c r="I88" s="4" t="s">
        <v>26</v>
      </c>
      <c r="J88" s="7"/>
    </row>
    <row r="89" ht="14.25" customHeight="1">
      <c r="A89" s="4" t="s">
        <v>312</v>
      </c>
      <c r="B89" s="4" t="s">
        <v>54</v>
      </c>
      <c r="C89" s="7" t="s">
        <v>313</v>
      </c>
      <c r="D89" s="7" t="s">
        <v>231</v>
      </c>
      <c r="E89" s="7" t="s">
        <v>302</v>
      </c>
      <c r="F89" s="4" t="s">
        <v>25</v>
      </c>
      <c r="G89" s="4" t="s">
        <v>4</v>
      </c>
      <c r="H89" s="4" t="s">
        <v>26</v>
      </c>
      <c r="I89" s="4" t="s">
        <v>26</v>
      </c>
      <c r="J89" s="7"/>
    </row>
    <row r="90" ht="14.25" customHeight="1">
      <c r="A90" s="4" t="s">
        <v>314</v>
      </c>
      <c r="B90" s="4" t="s">
        <v>54</v>
      </c>
      <c r="C90" s="7" t="s">
        <v>315</v>
      </c>
      <c r="D90" s="7" t="s">
        <v>231</v>
      </c>
      <c r="E90" s="7" t="s">
        <v>316</v>
      </c>
      <c r="F90" s="4" t="s">
        <v>25</v>
      </c>
      <c r="G90" s="4" t="s">
        <v>4</v>
      </c>
      <c r="H90" s="4" t="s">
        <v>26</v>
      </c>
      <c r="I90" s="4" t="s">
        <v>26</v>
      </c>
      <c r="J90" s="7"/>
    </row>
    <row r="91" ht="14.25" customHeight="1">
      <c r="A91" s="4" t="s">
        <v>317</v>
      </c>
      <c r="B91" s="4" t="s">
        <v>54</v>
      </c>
      <c r="C91" s="7" t="s">
        <v>318</v>
      </c>
      <c r="D91" s="7" t="s">
        <v>231</v>
      </c>
      <c r="E91" s="7" t="s">
        <v>302</v>
      </c>
      <c r="F91" s="4" t="s">
        <v>25</v>
      </c>
      <c r="G91" s="4" t="s">
        <v>4</v>
      </c>
      <c r="H91" s="4" t="s">
        <v>26</v>
      </c>
      <c r="I91" s="4" t="s">
        <v>26</v>
      </c>
      <c r="J91" s="7"/>
    </row>
    <row r="92" ht="14.25" customHeight="1">
      <c r="A92" s="4" t="s">
        <v>319</v>
      </c>
      <c r="B92" s="4" t="s">
        <v>54</v>
      </c>
      <c r="C92" s="7" t="s">
        <v>320</v>
      </c>
      <c r="D92" s="7" t="s">
        <v>231</v>
      </c>
      <c r="E92" s="7" t="s">
        <v>321</v>
      </c>
      <c r="F92" s="4" t="s">
        <v>25</v>
      </c>
      <c r="G92" s="4" t="s">
        <v>4</v>
      </c>
      <c r="H92" s="4" t="s">
        <v>26</v>
      </c>
      <c r="I92" s="4" t="s">
        <v>26</v>
      </c>
      <c r="J92" s="7"/>
    </row>
    <row r="93" ht="14.25" customHeight="1">
      <c r="A93" s="4" t="s">
        <v>322</v>
      </c>
      <c r="B93" s="4" t="s">
        <v>54</v>
      </c>
      <c r="C93" s="7" t="s">
        <v>323</v>
      </c>
      <c r="D93" s="7" t="s">
        <v>231</v>
      </c>
      <c r="E93" s="7" t="s">
        <v>324</v>
      </c>
      <c r="F93" s="4" t="s">
        <v>25</v>
      </c>
      <c r="G93" s="4" t="s">
        <v>4</v>
      </c>
      <c r="H93" s="4" t="s">
        <v>26</v>
      </c>
      <c r="I93" s="4" t="s">
        <v>26</v>
      </c>
      <c r="J93" s="7"/>
    </row>
    <row r="94" ht="14.25" customHeight="1">
      <c r="A94" s="4" t="s">
        <v>325</v>
      </c>
      <c r="B94" s="4" t="s">
        <v>54</v>
      </c>
      <c r="C94" s="7" t="s">
        <v>326</v>
      </c>
      <c r="D94" s="7" t="s">
        <v>231</v>
      </c>
      <c r="E94" s="7" t="s">
        <v>327</v>
      </c>
      <c r="F94" s="4" t="s">
        <v>25</v>
      </c>
      <c r="G94" s="4" t="s">
        <v>4</v>
      </c>
      <c r="H94" s="4" t="s">
        <v>26</v>
      </c>
      <c r="I94" s="4" t="s">
        <v>26</v>
      </c>
      <c r="J94" s="7"/>
    </row>
    <row r="95" ht="14.25" customHeight="1">
      <c r="A95" s="4" t="s">
        <v>328</v>
      </c>
      <c r="B95" s="4" t="s">
        <v>54</v>
      </c>
      <c r="C95" s="7" t="s">
        <v>329</v>
      </c>
      <c r="D95" s="7" t="s">
        <v>231</v>
      </c>
      <c r="E95" s="7" t="s">
        <v>330</v>
      </c>
      <c r="F95" s="4" t="s">
        <v>25</v>
      </c>
      <c r="G95" s="4" t="s">
        <v>4</v>
      </c>
      <c r="H95" s="4" t="s">
        <v>26</v>
      </c>
      <c r="I95" s="4" t="s">
        <v>26</v>
      </c>
      <c r="J95" s="7"/>
    </row>
    <row r="96" ht="14.25" customHeight="1">
      <c r="A96" s="4" t="s">
        <v>331</v>
      </c>
      <c r="B96" s="4" t="s">
        <v>54</v>
      </c>
      <c r="C96" s="7" t="s">
        <v>332</v>
      </c>
      <c r="D96" s="7" t="s">
        <v>231</v>
      </c>
      <c r="E96" s="7" t="s">
        <v>333</v>
      </c>
      <c r="F96" s="4" t="s">
        <v>25</v>
      </c>
      <c r="G96" s="4" t="s">
        <v>4</v>
      </c>
      <c r="H96" s="4" t="s">
        <v>26</v>
      </c>
      <c r="I96" s="4" t="s">
        <v>26</v>
      </c>
      <c r="J96" s="7"/>
    </row>
    <row r="97" ht="14.25" customHeight="1">
      <c r="A97" s="4" t="s">
        <v>334</v>
      </c>
      <c r="B97" s="4" t="s">
        <v>54</v>
      </c>
      <c r="C97" s="7" t="s">
        <v>335</v>
      </c>
      <c r="D97" s="7" t="s">
        <v>231</v>
      </c>
      <c r="E97" s="7" t="s">
        <v>336</v>
      </c>
      <c r="F97" s="4" t="s">
        <v>25</v>
      </c>
      <c r="G97" s="4" t="s">
        <v>4</v>
      </c>
      <c r="H97" s="4" t="s">
        <v>26</v>
      </c>
      <c r="I97" s="4" t="s">
        <v>26</v>
      </c>
      <c r="J97" s="7"/>
    </row>
    <row r="98" ht="14.25" customHeight="1">
      <c r="A98" s="4" t="s">
        <v>337</v>
      </c>
      <c r="B98" s="4" t="s">
        <v>54</v>
      </c>
      <c r="C98" s="7" t="s">
        <v>338</v>
      </c>
      <c r="D98" s="7" t="s">
        <v>231</v>
      </c>
      <c r="E98" s="7" t="s">
        <v>339</v>
      </c>
      <c r="F98" s="4" t="s">
        <v>25</v>
      </c>
      <c r="G98" s="4" t="s">
        <v>4</v>
      </c>
      <c r="H98" s="4" t="s">
        <v>26</v>
      </c>
      <c r="I98" s="4" t="s">
        <v>26</v>
      </c>
      <c r="J98" s="7"/>
    </row>
    <row r="99" ht="14.25" customHeight="1">
      <c r="A99" s="4" t="s">
        <v>340</v>
      </c>
      <c r="B99" s="4" t="s">
        <v>54</v>
      </c>
      <c r="C99" s="7" t="s">
        <v>341</v>
      </c>
      <c r="D99" s="7" t="s">
        <v>231</v>
      </c>
      <c r="E99" s="7" t="s">
        <v>342</v>
      </c>
      <c r="F99" s="4" t="s">
        <v>25</v>
      </c>
      <c r="G99" s="4" t="s">
        <v>4</v>
      </c>
      <c r="H99" s="4" t="s">
        <v>26</v>
      </c>
      <c r="I99" s="4" t="s">
        <v>26</v>
      </c>
      <c r="J99" s="7"/>
    </row>
    <row r="100" ht="14.25" customHeight="1">
      <c r="A100" s="4" t="s">
        <v>343</v>
      </c>
      <c r="B100" s="4" t="s">
        <v>54</v>
      </c>
      <c r="C100" s="7" t="s">
        <v>344</v>
      </c>
      <c r="D100" s="7" t="s">
        <v>231</v>
      </c>
      <c r="E100" s="7" t="s">
        <v>345</v>
      </c>
      <c r="F100" s="4" t="s">
        <v>25</v>
      </c>
      <c r="G100" s="4" t="s">
        <v>4</v>
      </c>
      <c r="H100" s="4" t="s">
        <v>26</v>
      </c>
      <c r="I100" s="4" t="s">
        <v>26</v>
      </c>
      <c r="J100" s="7"/>
    </row>
    <row r="101" ht="14.25" customHeight="1">
      <c r="A101" s="4" t="s">
        <v>346</v>
      </c>
      <c r="B101" s="4" t="s">
        <v>54</v>
      </c>
      <c r="C101" s="7" t="s">
        <v>347</v>
      </c>
      <c r="D101" s="7" t="s">
        <v>231</v>
      </c>
      <c r="E101" s="7" t="s">
        <v>348</v>
      </c>
      <c r="F101" s="4" t="s">
        <v>25</v>
      </c>
      <c r="G101" s="4" t="s">
        <v>4</v>
      </c>
      <c r="H101" s="4" t="s">
        <v>26</v>
      </c>
      <c r="I101" s="4" t="s">
        <v>26</v>
      </c>
      <c r="J101" s="7"/>
    </row>
    <row r="102" ht="14.25" customHeight="1">
      <c r="A102" s="4" t="s">
        <v>349</v>
      </c>
      <c r="B102" s="4" t="s">
        <v>59</v>
      </c>
      <c r="C102" s="7" t="s">
        <v>350</v>
      </c>
      <c r="D102" s="7" t="s">
        <v>351</v>
      </c>
      <c r="E102" s="7" t="s">
        <v>352</v>
      </c>
      <c r="F102" s="4" t="s">
        <v>25</v>
      </c>
      <c r="G102" s="4" t="s">
        <v>4</v>
      </c>
      <c r="H102" s="4" t="s">
        <v>26</v>
      </c>
      <c r="I102" s="4" t="s">
        <v>26</v>
      </c>
      <c r="J102" s="7"/>
    </row>
    <row r="103" ht="14.25" customHeight="1">
      <c r="A103" s="4" t="s">
        <v>353</v>
      </c>
      <c r="B103" s="4" t="s">
        <v>59</v>
      </c>
      <c r="C103" s="7" t="s">
        <v>354</v>
      </c>
      <c r="D103" s="7" t="s">
        <v>351</v>
      </c>
      <c r="E103" s="7" t="s">
        <v>355</v>
      </c>
      <c r="F103" s="4" t="s">
        <v>25</v>
      </c>
      <c r="G103" s="4" t="s">
        <v>4</v>
      </c>
      <c r="H103" s="4" t="s">
        <v>26</v>
      </c>
      <c r="I103" s="4" t="s">
        <v>26</v>
      </c>
      <c r="J103" s="7"/>
    </row>
    <row r="104" ht="14.25" customHeight="1">
      <c r="A104" s="4" t="s">
        <v>356</v>
      </c>
      <c r="B104" s="4" t="s">
        <v>59</v>
      </c>
      <c r="C104" s="7" t="s">
        <v>357</v>
      </c>
      <c r="D104" s="7" t="s">
        <v>351</v>
      </c>
      <c r="E104" s="7" t="s">
        <v>358</v>
      </c>
      <c r="F104" s="4" t="s">
        <v>25</v>
      </c>
      <c r="G104" s="4" t="s">
        <v>4</v>
      </c>
      <c r="H104" s="4" t="s">
        <v>26</v>
      </c>
      <c r="I104" s="4" t="s">
        <v>26</v>
      </c>
      <c r="J104" s="7"/>
    </row>
    <row r="105" ht="14.25" customHeight="1">
      <c r="A105" s="4" t="s">
        <v>359</v>
      </c>
      <c r="B105" s="4" t="s">
        <v>59</v>
      </c>
      <c r="C105" s="7" t="s">
        <v>360</v>
      </c>
      <c r="D105" s="7" t="s">
        <v>351</v>
      </c>
      <c r="E105" s="7" t="s">
        <v>302</v>
      </c>
      <c r="F105" s="4" t="s">
        <v>25</v>
      </c>
      <c r="G105" s="4" t="s">
        <v>4</v>
      </c>
      <c r="H105" s="4" t="s">
        <v>26</v>
      </c>
      <c r="I105" s="4" t="s">
        <v>26</v>
      </c>
      <c r="J105" s="7"/>
    </row>
    <row r="106" ht="14.25" customHeight="1">
      <c r="A106" s="4" t="s">
        <v>361</v>
      </c>
      <c r="B106" s="4" t="s">
        <v>59</v>
      </c>
      <c r="C106" s="7" t="s">
        <v>362</v>
      </c>
      <c r="D106" s="7" t="s">
        <v>351</v>
      </c>
      <c r="E106" s="7" t="s">
        <v>363</v>
      </c>
      <c r="F106" s="4" t="s">
        <v>25</v>
      </c>
      <c r="G106" s="4" t="s">
        <v>4</v>
      </c>
      <c r="H106" s="4" t="s">
        <v>26</v>
      </c>
      <c r="I106" s="4" t="s">
        <v>26</v>
      </c>
      <c r="J106" s="7"/>
    </row>
    <row r="107" ht="14.25" customHeight="1">
      <c r="A107" s="4" t="s">
        <v>364</v>
      </c>
      <c r="B107" s="4" t="s">
        <v>59</v>
      </c>
      <c r="C107" s="7" t="s">
        <v>365</v>
      </c>
      <c r="D107" s="7" t="s">
        <v>351</v>
      </c>
      <c r="E107" s="7" t="s">
        <v>366</v>
      </c>
      <c r="F107" s="4" t="s">
        <v>25</v>
      </c>
      <c r="G107" s="4" t="s">
        <v>4</v>
      </c>
      <c r="H107" s="4" t="s">
        <v>26</v>
      </c>
      <c r="I107" s="4" t="s">
        <v>26</v>
      </c>
      <c r="J107" s="7"/>
    </row>
    <row r="108" ht="14.25" customHeight="1">
      <c r="A108" s="4" t="s">
        <v>367</v>
      </c>
      <c r="B108" s="4" t="s">
        <v>59</v>
      </c>
      <c r="C108" s="7" t="s">
        <v>368</v>
      </c>
      <c r="D108" s="7" t="s">
        <v>351</v>
      </c>
      <c r="E108" s="7" t="s">
        <v>369</v>
      </c>
      <c r="F108" s="4" t="s">
        <v>25</v>
      </c>
      <c r="G108" s="4" t="s">
        <v>4</v>
      </c>
      <c r="H108" s="4" t="s">
        <v>26</v>
      </c>
      <c r="I108" s="4" t="s">
        <v>26</v>
      </c>
      <c r="J108" s="7"/>
    </row>
    <row r="109" ht="14.25" customHeight="1">
      <c r="A109" s="4" t="s">
        <v>370</v>
      </c>
      <c r="B109" s="4" t="s">
        <v>59</v>
      </c>
      <c r="C109" s="7" t="s">
        <v>371</v>
      </c>
      <c r="D109" s="7" t="s">
        <v>351</v>
      </c>
      <c r="E109" s="7" t="s">
        <v>372</v>
      </c>
      <c r="F109" s="4" t="s">
        <v>25</v>
      </c>
      <c r="G109" s="4" t="s">
        <v>4</v>
      </c>
      <c r="H109" s="4" t="s">
        <v>26</v>
      </c>
      <c r="I109" s="4" t="s">
        <v>26</v>
      </c>
      <c r="J109" s="7"/>
    </row>
    <row r="110" ht="14.25" customHeight="1">
      <c r="A110" s="4" t="s">
        <v>373</v>
      </c>
      <c r="B110" s="4" t="s">
        <v>59</v>
      </c>
      <c r="C110" s="7" t="s">
        <v>374</v>
      </c>
      <c r="D110" s="7" t="s">
        <v>351</v>
      </c>
      <c r="E110" s="7" t="s">
        <v>375</v>
      </c>
      <c r="F110" s="4" t="s">
        <v>25</v>
      </c>
      <c r="G110" s="4" t="s">
        <v>4</v>
      </c>
      <c r="H110" s="4" t="s">
        <v>26</v>
      </c>
      <c r="I110" s="4" t="s">
        <v>26</v>
      </c>
      <c r="J110" s="7"/>
    </row>
    <row r="111" ht="14.25" customHeight="1">
      <c r="A111" s="4" t="s">
        <v>376</v>
      </c>
      <c r="B111" s="4" t="s">
        <v>59</v>
      </c>
      <c r="C111" s="7" t="s">
        <v>377</v>
      </c>
      <c r="D111" s="7" t="s">
        <v>351</v>
      </c>
      <c r="E111" s="7" t="s">
        <v>378</v>
      </c>
      <c r="F111" s="4" t="s">
        <v>25</v>
      </c>
      <c r="G111" s="4" t="s">
        <v>4</v>
      </c>
      <c r="H111" s="4" t="s">
        <v>26</v>
      </c>
      <c r="I111" s="4" t="s">
        <v>26</v>
      </c>
      <c r="J111" s="7"/>
    </row>
    <row r="112" ht="14.25" customHeight="1">
      <c r="A112" s="4" t="s">
        <v>379</v>
      </c>
      <c r="B112" s="4" t="s">
        <v>62</v>
      </c>
      <c r="C112" s="7" t="s">
        <v>380</v>
      </c>
      <c r="D112" s="7" t="s">
        <v>381</v>
      </c>
      <c r="E112" s="7" t="s">
        <v>382</v>
      </c>
      <c r="F112" s="4" t="s">
        <v>25</v>
      </c>
      <c r="G112" s="4" t="s">
        <v>4</v>
      </c>
      <c r="H112" s="4" t="s">
        <v>26</v>
      </c>
      <c r="I112" s="4" t="s">
        <v>26</v>
      </c>
      <c r="J112" s="7"/>
    </row>
    <row r="113" ht="14.25" customHeight="1">
      <c r="A113" s="4" t="s">
        <v>383</v>
      </c>
      <c r="B113" s="4" t="s">
        <v>62</v>
      </c>
      <c r="C113" s="7" t="s">
        <v>384</v>
      </c>
      <c r="D113" s="7" t="s">
        <v>385</v>
      </c>
      <c r="E113" s="7" t="s">
        <v>386</v>
      </c>
      <c r="F113" s="4" t="s">
        <v>25</v>
      </c>
      <c r="G113" s="4" t="s">
        <v>4</v>
      </c>
      <c r="H113" s="4" t="s">
        <v>26</v>
      </c>
      <c r="I113" s="4" t="s">
        <v>26</v>
      </c>
      <c r="J113" s="7"/>
    </row>
    <row r="114" ht="14.25" customHeight="1">
      <c r="A114" s="4" t="s">
        <v>387</v>
      </c>
      <c r="B114" s="4" t="s">
        <v>62</v>
      </c>
      <c r="C114" s="7" t="s">
        <v>388</v>
      </c>
      <c r="D114" s="7" t="s">
        <v>389</v>
      </c>
      <c r="E114" s="7" t="s">
        <v>390</v>
      </c>
      <c r="F114" s="4" t="s">
        <v>25</v>
      </c>
      <c r="G114" s="4" t="s">
        <v>4</v>
      </c>
      <c r="H114" s="4" t="s">
        <v>26</v>
      </c>
      <c r="I114" s="4" t="s">
        <v>26</v>
      </c>
      <c r="J114" s="7"/>
    </row>
    <row r="115" ht="14.25" customHeight="1">
      <c r="A115" s="4" t="s">
        <v>391</v>
      </c>
      <c r="B115" s="4" t="s">
        <v>62</v>
      </c>
      <c r="C115" s="7" t="s">
        <v>392</v>
      </c>
      <c r="D115" s="7" t="s">
        <v>381</v>
      </c>
      <c r="E115" s="7" t="s">
        <v>393</v>
      </c>
      <c r="F115" s="4" t="s">
        <v>25</v>
      </c>
      <c r="G115" s="4" t="s">
        <v>4</v>
      </c>
      <c r="H115" s="4" t="s">
        <v>26</v>
      </c>
      <c r="I115" s="4" t="s">
        <v>26</v>
      </c>
      <c r="J115" s="7"/>
    </row>
    <row r="116" ht="14.25" customHeight="1">
      <c r="A116" s="4" t="s">
        <v>394</v>
      </c>
      <c r="B116" s="4" t="s">
        <v>62</v>
      </c>
      <c r="C116" s="7" t="s">
        <v>395</v>
      </c>
      <c r="D116" s="7" t="s">
        <v>396</v>
      </c>
      <c r="E116" s="7" t="s">
        <v>397</v>
      </c>
      <c r="F116" s="4" t="s">
        <v>25</v>
      </c>
      <c r="G116" s="4" t="s">
        <v>4</v>
      </c>
      <c r="H116" s="4" t="s">
        <v>26</v>
      </c>
      <c r="I116" s="4" t="s">
        <v>26</v>
      </c>
      <c r="J116" s="7"/>
    </row>
    <row r="117" ht="14.25" customHeight="1">
      <c r="A117" s="4" t="s">
        <v>398</v>
      </c>
      <c r="B117" s="4" t="s">
        <v>62</v>
      </c>
      <c r="C117" s="7" t="s">
        <v>399</v>
      </c>
      <c r="D117" s="7" t="s">
        <v>400</v>
      </c>
      <c r="E117" s="7" t="s">
        <v>401</v>
      </c>
      <c r="F117" s="4" t="s">
        <v>25</v>
      </c>
      <c r="G117" s="4" t="s">
        <v>4</v>
      </c>
      <c r="H117" s="4" t="s">
        <v>26</v>
      </c>
      <c r="I117" s="4" t="s">
        <v>26</v>
      </c>
      <c r="J117" s="7"/>
    </row>
    <row r="118" ht="14.25" customHeight="1">
      <c r="A118" s="4" t="s">
        <v>402</v>
      </c>
      <c r="B118" s="4" t="s">
        <v>62</v>
      </c>
      <c r="C118" s="7" t="s">
        <v>403</v>
      </c>
      <c r="D118" s="7" t="s">
        <v>404</v>
      </c>
      <c r="E118" s="7" t="s">
        <v>405</v>
      </c>
      <c r="F118" s="4" t="s">
        <v>25</v>
      </c>
      <c r="G118" s="4" t="s">
        <v>4</v>
      </c>
      <c r="H118" s="4" t="s">
        <v>26</v>
      </c>
      <c r="I118" s="4" t="s">
        <v>26</v>
      </c>
      <c r="J118" s="7"/>
    </row>
    <row r="119" ht="14.25" customHeight="1">
      <c r="A119" s="4" t="s">
        <v>406</v>
      </c>
      <c r="B119" s="4" t="s">
        <v>62</v>
      </c>
      <c r="C119" s="7" t="s">
        <v>407</v>
      </c>
      <c r="D119" s="7" t="s">
        <v>408</v>
      </c>
      <c r="E119" s="7" t="s">
        <v>409</v>
      </c>
      <c r="F119" s="4" t="s">
        <v>25</v>
      </c>
      <c r="G119" s="4" t="s">
        <v>4</v>
      </c>
      <c r="H119" s="4" t="s">
        <v>26</v>
      </c>
      <c r="I119" s="4" t="s">
        <v>26</v>
      </c>
      <c r="J119" s="7"/>
    </row>
    <row r="120" ht="14.25" customHeight="1">
      <c r="A120" s="4" t="s">
        <v>410</v>
      </c>
      <c r="B120" s="4" t="s">
        <v>62</v>
      </c>
      <c r="C120" s="7" t="s">
        <v>411</v>
      </c>
      <c r="D120" s="7" t="s">
        <v>381</v>
      </c>
      <c r="E120" s="7" t="s">
        <v>412</v>
      </c>
      <c r="F120" s="4" t="s">
        <v>25</v>
      </c>
      <c r="G120" s="4" t="s">
        <v>4</v>
      </c>
      <c r="H120" s="4" t="s">
        <v>26</v>
      </c>
      <c r="I120" s="4" t="s">
        <v>26</v>
      </c>
      <c r="J120" s="7"/>
    </row>
    <row r="121" ht="14.25" customHeight="1">
      <c r="A121" s="4" t="s">
        <v>413</v>
      </c>
      <c r="B121" s="4" t="s">
        <v>62</v>
      </c>
      <c r="C121" s="7" t="s">
        <v>414</v>
      </c>
      <c r="D121" s="7" t="s">
        <v>415</v>
      </c>
      <c r="E121" s="7" t="s">
        <v>416</v>
      </c>
      <c r="F121" s="4" t="s">
        <v>25</v>
      </c>
      <c r="G121" s="4" t="s">
        <v>4</v>
      </c>
      <c r="H121" s="4" t="s">
        <v>26</v>
      </c>
      <c r="I121" s="4" t="s">
        <v>26</v>
      </c>
      <c r="J121" s="7"/>
    </row>
    <row r="122" ht="14.25" customHeight="1">
      <c r="A122" s="4" t="s">
        <v>417</v>
      </c>
      <c r="B122" s="4" t="s">
        <v>62</v>
      </c>
      <c r="C122" s="7" t="s">
        <v>418</v>
      </c>
      <c r="D122" s="7" t="s">
        <v>419</v>
      </c>
      <c r="E122" s="7" t="s">
        <v>420</v>
      </c>
      <c r="F122" s="4" t="s">
        <v>25</v>
      </c>
      <c r="G122" s="4" t="s">
        <v>4</v>
      </c>
      <c r="H122" s="4" t="s">
        <v>26</v>
      </c>
      <c r="I122" s="4" t="s">
        <v>26</v>
      </c>
      <c r="J122" s="7"/>
    </row>
    <row r="123" ht="14.25" customHeight="1">
      <c r="A123" s="4" t="s">
        <v>421</v>
      </c>
      <c r="B123" s="4" t="s">
        <v>62</v>
      </c>
      <c r="C123" s="7" t="s">
        <v>422</v>
      </c>
      <c r="D123" s="7" t="s">
        <v>423</v>
      </c>
      <c r="E123" s="7" t="s">
        <v>424</v>
      </c>
      <c r="F123" s="4" t="s">
        <v>25</v>
      </c>
      <c r="G123" s="4" t="s">
        <v>4</v>
      </c>
      <c r="H123" s="4" t="s">
        <v>26</v>
      </c>
      <c r="I123" s="4" t="s">
        <v>26</v>
      </c>
      <c r="J123" s="7"/>
    </row>
    <row r="124" ht="14.25" customHeight="1">
      <c r="A124" s="4" t="s">
        <v>425</v>
      </c>
      <c r="B124" s="4" t="s">
        <v>62</v>
      </c>
      <c r="C124" s="7" t="s">
        <v>426</v>
      </c>
      <c r="D124" s="7" t="s">
        <v>427</v>
      </c>
      <c r="E124" s="7" t="s">
        <v>428</v>
      </c>
      <c r="F124" s="4" t="s">
        <v>25</v>
      </c>
      <c r="G124" s="4" t="s">
        <v>4</v>
      </c>
      <c r="H124" s="4" t="s">
        <v>26</v>
      </c>
      <c r="I124" s="4" t="s">
        <v>26</v>
      </c>
      <c r="J124" s="7"/>
    </row>
    <row r="125" ht="14.25" customHeight="1">
      <c r="A125" s="4" t="s">
        <v>429</v>
      </c>
      <c r="B125" s="4" t="s">
        <v>62</v>
      </c>
      <c r="C125" s="7" t="s">
        <v>430</v>
      </c>
      <c r="D125" s="7" t="s">
        <v>431</v>
      </c>
      <c r="E125" s="7" t="s">
        <v>432</v>
      </c>
      <c r="F125" s="4" t="s">
        <v>25</v>
      </c>
      <c r="G125" s="4" t="s">
        <v>4</v>
      </c>
      <c r="H125" s="4" t="s">
        <v>26</v>
      </c>
      <c r="I125" s="4" t="s">
        <v>26</v>
      </c>
      <c r="J125" s="7"/>
    </row>
    <row r="126" ht="14.25" customHeight="1">
      <c r="A126" s="4" t="s">
        <v>433</v>
      </c>
      <c r="B126" s="4" t="s">
        <v>62</v>
      </c>
      <c r="C126" s="7" t="s">
        <v>434</v>
      </c>
      <c r="D126" s="7" t="s">
        <v>435</v>
      </c>
      <c r="E126" s="7" t="s">
        <v>436</v>
      </c>
      <c r="F126" s="4" t="s">
        <v>25</v>
      </c>
      <c r="G126" s="4" t="s">
        <v>4</v>
      </c>
      <c r="H126" s="4" t="s">
        <v>26</v>
      </c>
      <c r="I126" s="4" t="s">
        <v>26</v>
      </c>
      <c r="J126" s="7"/>
    </row>
    <row r="127" ht="14.25" customHeight="1">
      <c r="A127" s="4" t="s">
        <v>437</v>
      </c>
      <c r="B127" s="4" t="s">
        <v>62</v>
      </c>
      <c r="C127" s="7" t="s">
        <v>438</v>
      </c>
      <c r="D127" s="7" t="s">
        <v>439</v>
      </c>
      <c r="E127" s="7" t="s">
        <v>440</v>
      </c>
      <c r="F127" s="4" t="s">
        <v>25</v>
      </c>
      <c r="G127" s="4" t="s">
        <v>4</v>
      </c>
      <c r="H127" s="4" t="s">
        <v>26</v>
      </c>
      <c r="I127" s="4" t="s">
        <v>26</v>
      </c>
      <c r="J127" s="7"/>
    </row>
    <row r="128" ht="14.25" customHeight="1">
      <c r="A128" s="4" t="s">
        <v>441</v>
      </c>
      <c r="B128" s="4" t="s">
        <v>62</v>
      </c>
      <c r="C128" s="7" t="s">
        <v>442</v>
      </c>
      <c r="D128" s="7" t="s">
        <v>443</v>
      </c>
      <c r="E128" s="7" t="s">
        <v>444</v>
      </c>
      <c r="F128" s="4" t="s">
        <v>25</v>
      </c>
      <c r="G128" s="4" t="s">
        <v>4</v>
      </c>
      <c r="H128" s="4" t="s">
        <v>26</v>
      </c>
      <c r="I128" s="4" t="s">
        <v>26</v>
      </c>
      <c r="J128" s="7"/>
    </row>
    <row r="129" ht="14.25" customHeight="1">
      <c r="A129" s="4" t="s">
        <v>445</v>
      </c>
      <c r="B129" s="4" t="s">
        <v>62</v>
      </c>
      <c r="C129" s="7" t="s">
        <v>446</v>
      </c>
      <c r="D129" s="7" t="s">
        <v>404</v>
      </c>
      <c r="E129" s="7" t="s">
        <v>447</v>
      </c>
      <c r="F129" s="4" t="s">
        <v>25</v>
      </c>
      <c r="G129" s="4" t="s">
        <v>4</v>
      </c>
      <c r="H129" s="4" t="s">
        <v>26</v>
      </c>
      <c r="I129" s="4" t="s">
        <v>26</v>
      </c>
      <c r="J129" s="7"/>
    </row>
    <row r="130" ht="14.25" customHeight="1">
      <c r="A130" s="4" t="s">
        <v>448</v>
      </c>
      <c r="B130" s="4" t="s">
        <v>62</v>
      </c>
      <c r="C130" s="7" t="s">
        <v>449</v>
      </c>
      <c r="D130" s="7" t="s">
        <v>450</v>
      </c>
      <c r="E130" s="7" t="s">
        <v>451</v>
      </c>
      <c r="F130" s="4" t="s">
        <v>25</v>
      </c>
      <c r="G130" s="4" t="s">
        <v>4</v>
      </c>
      <c r="H130" s="4" t="s">
        <v>26</v>
      </c>
      <c r="I130" s="4" t="s">
        <v>26</v>
      </c>
      <c r="J130" s="7"/>
    </row>
    <row r="131" ht="14.25" customHeight="1">
      <c r="A131" s="4" t="s">
        <v>452</v>
      </c>
      <c r="B131" s="4" t="s">
        <v>62</v>
      </c>
      <c r="C131" s="7" t="s">
        <v>453</v>
      </c>
      <c r="D131" s="7" t="s">
        <v>454</v>
      </c>
      <c r="E131" s="7" t="s">
        <v>455</v>
      </c>
      <c r="F131" s="4" t="s">
        <v>25</v>
      </c>
      <c r="G131" s="4" t="s">
        <v>4</v>
      </c>
      <c r="H131" s="4" t="s">
        <v>26</v>
      </c>
      <c r="I131" s="4" t="s">
        <v>26</v>
      </c>
      <c r="J131" s="7"/>
    </row>
    <row r="132" ht="14.25" customHeight="1">
      <c r="A132" s="4" t="s">
        <v>456</v>
      </c>
      <c r="B132" s="4" t="s">
        <v>62</v>
      </c>
      <c r="C132" s="7" t="s">
        <v>457</v>
      </c>
      <c r="D132" s="7" t="s">
        <v>458</v>
      </c>
      <c r="E132" s="7" t="s">
        <v>459</v>
      </c>
      <c r="F132" s="4" t="s">
        <v>25</v>
      </c>
      <c r="G132" s="4" t="s">
        <v>4</v>
      </c>
      <c r="H132" s="4" t="s">
        <v>26</v>
      </c>
      <c r="I132" s="4" t="s">
        <v>26</v>
      </c>
      <c r="J132" s="7"/>
    </row>
    <row r="133" ht="14.25" customHeight="1">
      <c r="A133" s="4" t="s">
        <v>460</v>
      </c>
      <c r="B133" s="4" t="s">
        <v>62</v>
      </c>
      <c r="C133" s="7" t="s">
        <v>461</v>
      </c>
      <c r="D133" s="7" t="s">
        <v>404</v>
      </c>
      <c r="E133" s="7" t="s">
        <v>462</v>
      </c>
      <c r="F133" s="4" t="s">
        <v>25</v>
      </c>
      <c r="G133" s="4" t="s">
        <v>4</v>
      </c>
      <c r="H133" s="4" t="s">
        <v>26</v>
      </c>
      <c r="I133" s="4" t="s">
        <v>26</v>
      </c>
      <c r="J133" s="7"/>
    </row>
    <row r="134" ht="14.25" customHeight="1">
      <c r="A134" s="4" t="s">
        <v>463</v>
      </c>
      <c r="B134" s="4" t="s">
        <v>62</v>
      </c>
      <c r="C134" s="7" t="s">
        <v>464</v>
      </c>
      <c r="D134" s="7" t="s">
        <v>465</v>
      </c>
      <c r="E134" s="7" t="s">
        <v>466</v>
      </c>
      <c r="F134" s="4" t="s">
        <v>25</v>
      </c>
      <c r="G134" s="4" t="s">
        <v>4</v>
      </c>
      <c r="H134" s="4" t="s">
        <v>26</v>
      </c>
      <c r="I134" s="4" t="s">
        <v>26</v>
      </c>
      <c r="J134" s="7"/>
    </row>
    <row r="135" ht="14.25" customHeight="1">
      <c r="A135" s="4" t="s">
        <v>467</v>
      </c>
      <c r="B135" s="4" t="s">
        <v>62</v>
      </c>
      <c r="C135" s="7" t="s">
        <v>468</v>
      </c>
      <c r="D135" s="7" t="s">
        <v>458</v>
      </c>
      <c r="E135" s="7" t="s">
        <v>469</v>
      </c>
      <c r="F135" s="4" t="s">
        <v>25</v>
      </c>
      <c r="G135" s="4" t="s">
        <v>4</v>
      </c>
      <c r="H135" s="4" t="s">
        <v>26</v>
      </c>
      <c r="I135" s="4" t="s">
        <v>26</v>
      </c>
      <c r="J135" s="7"/>
    </row>
    <row r="136" ht="14.25" customHeight="1">
      <c r="A136" s="4" t="s">
        <v>470</v>
      </c>
      <c r="B136" s="4" t="s">
        <v>62</v>
      </c>
      <c r="C136" s="7" t="s">
        <v>471</v>
      </c>
      <c r="D136" s="7" t="s">
        <v>381</v>
      </c>
      <c r="E136" s="7" t="s">
        <v>472</v>
      </c>
      <c r="F136" s="4" t="s">
        <v>25</v>
      </c>
      <c r="G136" s="4" t="s">
        <v>4</v>
      </c>
      <c r="H136" s="4" t="s">
        <v>26</v>
      </c>
      <c r="I136" s="4" t="s">
        <v>26</v>
      </c>
      <c r="J136" s="7"/>
    </row>
    <row r="137" ht="14.25" customHeight="1">
      <c r="A137" s="4" t="s">
        <v>473</v>
      </c>
      <c r="B137" s="4" t="s">
        <v>62</v>
      </c>
      <c r="C137" s="7" t="s">
        <v>474</v>
      </c>
      <c r="D137" s="7" t="s">
        <v>381</v>
      </c>
      <c r="E137" s="7" t="s">
        <v>475</v>
      </c>
      <c r="F137" s="4" t="s">
        <v>25</v>
      </c>
      <c r="G137" s="4" t="s">
        <v>4</v>
      </c>
      <c r="H137" s="4" t="s">
        <v>26</v>
      </c>
      <c r="I137" s="4" t="s">
        <v>26</v>
      </c>
      <c r="J137" s="7"/>
    </row>
    <row r="138" ht="14.25" customHeight="1">
      <c r="A138" s="4" t="s">
        <v>476</v>
      </c>
      <c r="B138" s="4" t="s">
        <v>62</v>
      </c>
      <c r="C138" s="7" t="s">
        <v>477</v>
      </c>
      <c r="D138" s="7" t="s">
        <v>478</v>
      </c>
      <c r="E138" s="7" t="s">
        <v>479</v>
      </c>
      <c r="F138" s="4" t="s">
        <v>25</v>
      </c>
      <c r="G138" s="4" t="s">
        <v>4</v>
      </c>
      <c r="H138" s="4" t="s">
        <v>26</v>
      </c>
      <c r="I138" s="4" t="s">
        <v>26</v>
      </c>
      <c r="J138" s="7"/>
    </row>
    <row r="139" ht="14.25" customHeight="1">
      <c r="A139" s="4" t="s">
        <v>480</v>
      </c>
      <c r="B139" s="4" t="s">
        <v>62</v>
      </c>
      <c r="C139" s="7" t="s">
        <v>481</v>
      </c>
      <c r="D139" s="7" t="s">
        <v>482</v>
      </c>
      <c r="E139" s="7" t="s">
        <v>483</v>
      </c>
      <c r="F139" s="4" t="s">
        <v>25</v>
      </c>
      <c r="G139" s="4" t="s">
        <v>4</v>
      </c>
      <c r="H139" s="4" t="s">
        <v>26</v>
      </c>
      <c r="I139" s="4" t="s">
        <v>26</v>
      </c>
      <c r="J139" s="7"/>
    </row>
    <row r="140" ht="14.25" customHeight="1">
      <c r="A140" s="4" t="s">
        <v>484</v>
      </c>
      <c r="B140" s="4" t="s">
        <v>62</v>
      </c>
      <c r="C140" s="7" t="s">
        <v>485</v>
      </c>
      <c r="D140" s="7" t="s">
        <v>486</v>
      </c>
      <c r="E140" s="7" t="s">
        <v>487</v>
      </c>
      <c r="F140" s="4" t="s">
        <v>25</v>
      </c>
      <c r="G140" s="4" t="s">
        <v>4</v>
      </c>
      <c r="H140" s="4" t="s">
        <v>26</v>
      </c>
      <c r="I140" s="4" t="s">
        <v>26</v>
      </c>
      <c r="J140" s="7"/>
    </row>
    <row r="141" ht="14.25" customHeight="1">
      <c r="A141" s="4" t="s">
        <v>488</v>
      </c>
      <c r="B141" s="4" t="s">
        <v>62</v>
      </c>
      <c r="C141" s="7" t="s">
        <v>489</v>
      </c>
      <c r="D141" s="7" t="s">
        <v>381</v>
      </c>
      <c r="E141" s="7" t="s">
        <v>490</v>
      </c>
      <c r="F141" s="4" t="s">
        <v>25</v>
      </c>
      <c r="G141" s="4" t="s">
        <v>4</v>
      </c>
      <c r="H141" s="4" t="s">
        <v>26</v>
      </c>
      <c r="I141" s="4" t="s">
        <v>26</v>
      </c>
      <c r="J141" s="7"/>
    </row>
    <row r="142" ht="14.25" customHeight="1">
      <c r="A142" s="4" t="s">
        <v>491</v>
      </c>
      <c r="B142" s="4" t="s">
        <v>62</v>
      </c>
      <c r="C142" s="7" t="s">
        <v>492</v>
      </c>
      <c r="D142" s="7" t="s">
        <v>443</v>
      </c>
      <c r="E142" s="7" t="s">
        <v>493</v>
      </c>
      <c r="F142" s="4" t="s">
        <v>25</v>
      </c>
      <c r="G142" s="4" t="s">
        <v>4</v>
      </c>
      <c r="H142" s="4" t="s">
        <v>26</v>
      </c>
      <c r="I142" s="4" t="s">
        <v>26</v>
      </c>
      <c r="J142" s="7"/>
    </row>
    <row r="143" ht="14.25" customHeight="1">
      <c r="A143" s="4" t="s">
        <v>494</v>
      </c>
      <c r="B143" s="4" t="s">
        <v>62</v>
      </c>
      <c r="C143" s="7" t="s">
        <v>495</v>
      </c>
      <c r="D143" s="7" t="s">
        <v>381</v>
      </c>
      <c r="E143" s="7" t="s">
        <v>496</v>
      </c>
      <c r="F143" s="4" t="s">
        <v>25</v>
      </c>
      <c r="G143" s="4" t="s">
        <v>4</v>
      </c>
      <c r="H143" s="4" t="s">
        <v>26</v>
      </c>
      <c r="I143" s="4" t="s">
        <v>26</v>
      </c>
      <c r="J143" s="7"/>
    </row>
    <row r="144" ht="14.25" customHeight="1">
      <c r="A144" s="4" t="s">
        <v>497</v>
      </c>
      <c r="B144" s="4" t="s">
        <v>62</v>
      </c>
      <c r="C144" s="7" t="s">
        <v>498</v>
      </c>
      <c r="D144" s="7" t="s">
        <v>499</v>
      </c>
      <c r="E144" s="7" t="s">
        <v>500</v>
      </c>
      <c r="F144" s="4" t="s">
        <v>25</v>
      </c>
      <c r="G144" s="4" t="s">
        <v>4</v>
      </c>
      <c r="H144" s="4" t="s">
        <v>26</v>
      </c>
      <c r="I144" s="4" t="s">
        <v>26</v>
      </c>
      <c r="J144" s="7"/>
    </row>
    <row r="145" ht="14.25" customHeight="1">
      <c r="A145" s="4" t="s">
        <v>501</v>
      </c>
      <c r="B145" s="4" t="s">
        <v>62</v>
      </c>
      <c r="C145" s="7" t="s">
        <v>502</v>
      </c>
      <c r="D145" s="7" t="s">
        <v>503</v>
      </c>
      <c r="E145" s="7" t="s">
        <v>504</v>
      </c>
      <c r="F145" s="4" t="s">
        <v>25</v>
      </c>
      <c r="G145" s="4" t="s">
        <v>4</v>
      </c>
      <c r="H145" s="4" t="s">
        <v>26</v>
      </c>
      <c r="I145" s="4" t="s">
        <v>26</v>
      </c>
      <c r="J145" s="7"/>
    </row>
    <row r="146" ht="14.25" customHeight="1">
      <c r="A146" s="4" t="s">
        <v>505</v>
      </c>
      <c r="B146" s="4" t="s">
        <v>62</v>
      </c>
      <c r="C146" s="7" t="s">
        <v>506</v>
      </c>
      <c r="D146" s="7" t="s">
        <v>450</v>
      </c>
      <c r="E146" s="7" t="s">
        <v>507</v>
      </c>
      <c r="F146" s="4" t="s">
        <v>25</v>
      </c>
      <c r="G146" s="4" t="s">
        <v>4</v>
      </c>
      <c r="H146" s="4" t="s">
        <v>26</v>
      </c>
      <c r="I146" s="4" t="s">
        <v>26</v>
      </c>
      <c r="J146" s="7"/>
    </row>
    <row r="147" ht="14.25" customHeight="1">
      <c r="A147" s="4" t="s">
        <v>508</v>
      </c>
      <c r="B147" s="4" t="s">
        <v>62</v>
      </c>
      <c r="C147" s="7" t="s">
        <v>509</v>
      </c>
      <c r="D147" s="7" t="s">
        <v>510</v>
      </c>
      <c r="E147" s="7" t="s">
        <v>511</v>
      </c>
      <c r="F147" s="4" t="s">
        <v>25</v>
      </c>
      <c r="G147" s="4" t="s">
        <v>4</v>
      </c>
      <c r="H147" s="4" t="s">
        <v>26</v>
      </c>
      <c r="I147" s="4" t="s">
        <v>26</v>
      </c>
      <c r="J147" s="7"/>
    </row>
    <row r="148" ht="14.25" customHeight="1">
      <c r="A148" s="4" t="s">
        <v>512</v>
      </c>
      <c r="B148" s="4" t="s">
        <v>62</v>
      </c>
      <c r="C148" s="7" t="s">
        <v>513</v>
      </c>
      <c r="D148" s="7" t="s">
        <v>514</v>
      </c>
      <c r="E148" s="7" t="s">
        <v>515</v>
      </c>
      <c r="F148" s="4" t="s">
        <v>25</v>
      </c>
      <c r="G148" s="4" t="s">
        <v>4</v>
      </c>
      <c r="H148" s="4" t="s">
        <v>26</v>
      </c>
      <c r="I148" s="4" t="s">
        <v>26</v>
      </c>
      <c r="J148" s="7"/>
    </row>
    <row r="149" ht="14.25" customHeight="1">
      <c r="A149" s="4" t="s">
        <v>516</v>
      </c>
      <c r="B149" s="4" t="s">
        <v>62</v>
      </c>
      <c r="C149" s="7" t="s">
        <v>517</v>
      </c>
      <c r="D149" s="7" t="s">
        <v>443</v>
      </c>
      <c r="E149" s="7" t="s">
        <v>518</v>
      </c>
      <c r="F149" s="4" t="s">
        <v>25</v>
      </c>
      <c r="G149" s="4" t="s">
        <v>4</v>
      </c>
      <c r="H149" s="4" t="s">
        <v>26</v>
      </c>
      <c r="I149" s="4" t="s">
        <v>26</v>
      </c>
      <c r="J149" s="7"/>
    </row>
    <row r="150" ht="14.25" customHeight="1">
      <c r="A150" s="4" t="s">
        <v>519</v>
      </c>
      <c r="B150" s="4" t="s">
        <v>62</v>
      </c>
      <c r="C150" s="7" t="s">
        <v>520</v>
      </c>
      <c r="D150" s="7" t="s">
        <v>381</v>
      </c>
      <c r="E150" s="7" t="s">
        <v>521</v>
      </c>
      <c r="F150" s="4" t="s">
        <v>25</v>
      </c>
      <c r="G150" s="4" t="s">
        <v>4</v>
      </c>
      <c r="H150" s="4" t="s">
        <v>26</v>
      </c>
      <c r="I150" s="4" t="s">
        <v>26</v>
      </c>
      <c r="J150" s="7"/>
    </row>
    <row r="151" ht="14.25" customHeight="1">
      <c r="A151" s="4" t="s">
        <v>522</v>
      </c>
      <c r="B151" s="4" t="s">
        <v>62</v>
      </c>
      <c r="C151" s="7" t="s">
        <v>523</v>
      </c>
      <c r="D151" s="7" t="s">
        <v>443</v>
      </c>
      <c r="E151" s="7" t="s">
        <v>524</v>
      </c>
      <c r="F151" s="4" t="s">
        <v>25</v>
      </c>
      <c r="G151" s="4" t="s">
        <v>4</v>
      </c>
      <c r="H151" s="4" t="s">
        <v>26</v>
      </c>
      <c r="I151" s="4" t="s">
        <v>26</v>
      </c>
      <c r="J151" s="7"/>
    </row>
    <row r="152" ht="14.25" customHeight="1">
      <c r="A152" s="4" t="s">
        <v>525</v>
      </c>
      <c r="B152" s="4" t="s">
        <v>62</v>
      </c>
      <c r="C152" s="7" t="s">
        <v>526</v>
      </c>
      <c r="D152" s="7" t="s">
        <v>527</v>
      </c>
      <c r="E152" s="7" t="s">
        <v>528</v>
      </c>
      <c r="F152" s="4" t="s">
        <v>25</v>
      </c>
      <c r="G152" s="4" t="s">
        <v>4</v>
      </c>
      <c r="H152" s="4" t="s">
        <v>26</v>
      </c>
      <c r="I152" s="4" t="s">
        <v>26</v>
      </c>
      <c r="J152" s="7"/>
    </row>
    <row r="153" ht="14.25" customHeight="1">
      <c r="A153" s="4" t="s">
        <v>529</v>
      </c>
      <c r="B153" s="4" t="s">
        <v>62</v>
      </c>
      <c r="C153" s="7" t="s">
        <v>530</v>
      </c>
      <c r="D153" s="7" t="s">
        <v>439</v>
      </c>
      <c r="E153" s="7" t="s">
        <v>531</v>
      </c>
      <c r="F153" s="4" t="s">
        <v>25</v>
      </c>
      <c r="G153" s="4" t="s">
        <v>4</v>
      </c>
      <c r="H153" s="4" t="s">
        <v>26</v>
      </c>
      <c r="I153" s="4" t="s">
        <v>26</v>
      </c>
      <c r="J153" s="7"/>
    </row>
    <row r="154" ht="14.25" customHeight="1">
      <c r="A154" s="4" t="s">
        <v>532</v>
      </c>
      <c r="B154" s="4" t="s">
        <v>62</v>
      </c>
      <c r="C154" s="7" t="s">
        <v>533</v>
      </c>
      <c r="D154" s="7" t="s">
        <v>534</v>
      </c>
      <c r="E154" s="7" t="s">
        <v>535</v>
      </c>
      <c r="F154" s="4" t="s">
        <v>25</v>
      </c>
      <c r="G154" s="4" t="s">
        <v>4</v>
      </c>
      <c r="H154" s="4" t="s">
        <v>26</v>
      </c>
      <c r="I154" s="4" t="s">
        <v>26</v>
      </c>
      <c r="J154" s="7"/>
    </row>
    <row r="155" ht="14.25" customHeight="1">
      <c r="A155" s="4" t="s">
        <v>536</v>
      </c>
      <c r="B155" s="4" t="s">
        <v>62</v>
      </c>
      <c r="C155" s="7" t="s">
        <v>537</v>
      </c>
      <c r="D155" s="7" t="s">
        <v>538</v>
      </c>
      <c r="E155" s="7" t="s">
        <v>539</v>
      </c>
      <c r="F155" s="4" t="s">
        <v>25</v>
      </c>
      <c r="G155" s="4" t="s">
        <v>4</v>
      </c>
      <c r="H155" s="4" t="s">
        <v>26</v>
      </c>
      <c r="I155" s="4" t="s">
        <v>26</v>
      </c>
      <c r="J155" s="7"/>
    </row>
    <row r="156" ht="14.25" customHeight="1">
      <c r="A156" s="4" t="s">
        <v>540</v>
      </c>
      <c r="B156" s="4" t="s">
        <v>62</v>
      </c>
      <c r="C156" s="7" t="s">
        <v>541</v>
      </c>
      <c r="D156" s="7" t="s">
        <v>443</v>
      </c>
      <c r="E156" s="7" t="s">
        <v>542</v>
      </c>
      <c r="F156" s="4" t="s">
        <v>25</v>
      </c>
      <c r="G156" s="4" t="s">
        <v>4</v>
      </c>
      <c r="H156" s="4" t="s">
        <v>26</v>
      </c>
      <c r="I156" s="4" t="s">
        <v>26</v>
      </c>
      <c r="J156" s="7"/>
    </row>
    <row r="157" ht="14.25" customHeight="1">
      <c r="A157" s="4" t="s">
        <v>543</v>
      </c>
      <c r="B157" s="4" t="s">
        <v>62</v>
      </c>
      <c r="C157" s="7" t="s">
        <v>544</v>
      </c>
      <c r="D157" s="7" t="s">
        <v>545</v>
      </c>
      <c r="E157" s="7" t="s">
        <v>546</v>
      </c>
      <c r="F157" s="4" t="s">
        <v>25</v>
      </c>
      <c r="G157" s="4" t="s">
        <v>4</v>
      </c>
      <c r="H157" s="4" t="s">
        <v>26</v>
      </c>
      <c r="I157" s="4" t="s">
        <v>26</v>
      </c>
      <c r="J157" s="7"/>
    </row>
    <row r="158" ht="14.25" customHeight="1">
      <c r="A158" s="4" t="s">
        <v>547</v>
      </c>
      <c r="B158" s="4" t="s">
        <v>62</v>
      </c>
      <c r="C158" s="7" t="s">
        <v>548</v>
      </c>
      <c r="D158" s="7" t="s">
        <v>439</v>
      </c>
      <c r="E158" s="7" t="s">
        <v>549</v>
      </c>
      <c r="F158" s="4" t="s">
        <v>25</v>
      </c>
      <c r="G158" s="4" t="s">
        <v>4</v>
      </c>
      <c r="H158" s="4" t="s">
        <v>26</v>
      </c>
      <c r="I158" s="4" t="s">
        <v>26</v>
      </c>
      <c r="J158" s="7"/>
    </row>
    <row r="159" ht="14.25" customHeight="1">
      <c r="A159" s="4" t="s">
        <v>551</v>
      </c>
      <c r="B159" s="4" t="s">
        <v>62</v>
      </c>
      <c r="C159" s="7" t="s">
        <v>552</v>
      </c>
      <c r="D159" s="7" t="s">
        <v>443</v>
      </c>
      <c r="E159" s="7" t="s">
        <v>553</v>
      </c>
      <c r="F159" s="4" t="s">
        <v>25</v>
      </c>
      <c r="G159" s="4" t="s">
        <v>4</v>
      </c>
      <c r="H159" s="4" t="s">
        <v>26</v>
      </c>
      <c r="I159" s="4" t="s">
        <v>26</v>
      </c>
      <c r="J159" s="7"/>
    </row>
    <row r="160" ht="14.25" customHeight="1">
      <c r="A160" s="4" t="s">
        <v>554</v>
      </c>
      <c r="B160" s="4" t="s">
        <v>62</v>
      </c>
      <c r="C160" s="7" t="s">
        <v>555</v>
      </c>
      <c r="D160" s="7" t="s">
        <v>381</v>
      </c>
      <c r="E160" s="7" t="s">
        <v>556</v>
      </c>
      <c r="F160" s="4" t="s">
        <v>25</v>
      </c>
      <c r="G160" s="4" t="s">
        <v>4</v>
      </c>
      <c r="H160" s="4" t="s">
        <v>26</v>
      </c>
      <c r="I160" s="4" t="s">
        <v>26</v>
      </c>
      <c r="J160" s="7"/>
    </row>
    <row r="161" ht="14.25" customHeight="1">
      <c r="A161" s="4" t="s">
        <v>557</v>
      </c>
      <c r="B161" s="4" t="s">
        <v>62</v>
      </c>
      <c r="C161" s="7" t="s">
        <v>558</v>
      </c>
      <c r="D161" s="7" t="s">
        <v>450</v>
      </c>
      <c r="E161" s="7" t="s">
        <v>559</v>
      </c>
      <c r="F161" s="4" t="s">
        <v>25</v>
      </c>
      <c r="G161" s="4" t="s">
        <v>4</v>
      </c>
      <c r="H161" s="4" t="s">
        <v>26</v>
      </c>
      <c r="I161" s="4" t="s">
        <v>26</v>
      </c>
      <c r="J161" s="7"/>
    </row>
    <row r="162" ht="14.25" customHeight="1">
      <c r="A162" s="4" t="s">
        <v>560</v>
      </c>
      <c r="B162" s="4" t="s">
        <v>62</v>
      </c>
      <c r="C162" s="7" t="s">
        <v>561</v>
      </c>
      <c r="D162" s="7" t="s">
        <v>562</v>
      </c>
      <c r="E162" s="7" t="s">
        <v>563</v>
      </c>
      <c r="F162" s="4" t="s">
        <v>25</v>
      </c>
      <c r="G162" s="4" t="s">
        <v>4</v>
      </c>
      <c r="H162" s="4" t="s">
        <v>26</v>
      </c>
      <c r="I162" s="4" t="s">
        <v>26</v>
      </c>
      <c r="J162" s="7"/>
    </row>
    <row r="163" ht="14.25" customHeight="1">
      <c r="A163" s="4" t="s">
        <v>564</v>
      </c>
      <c r="B163" s="4" t="s">
        <v>62</v>
      </c>
      <c r="C163" s="7" t="s">
        <v>565</v>
      </c>
      <c r="D163" s="7" t="s">
        <v>566</v>
      </c>
      <c r="E163" s="7" t="s">
        <v>567</v>
      </c>
      <c r="F163" s="4" t="s">
        <v>25</v>
      </c>
      <c r="G163" s="4" t="s">
        <v>4</v>
      </c>
      <c r="H163" s="4" t="s">
        <v>26</v>
      </c>
      <c r="I163" s="4" t="s">
        <v>26</v>
      </c>
      <c r="J163" s="7"/>
    </row>
    <row r="164" ht="14.25" customHeight="1">
      <c r="A164" s="4" t="s">
        <v>568</v>
      </c>
      <c r="B164" s="4" t="s">
        <v>62</v>
      </c>
      <c r="C164" s="7" t="s">
        <v>569</v>
      </c>
      <c r="D164" s="7" t="s">
        <v>439</v>
      </c>
      <c r="E164" s="7" t="s">
        <v>570</v>
      </c>
      <c r="F164" s="4" t="s">
        <v>25</v>
      </c>
      <c r="G164" s="4" t="s">
        <v>4</v>
      </c>
      <c r="H164" s="4" t="s">
        <v>26</v>
      </c>
      <c r="I164" s="4" t="s">
        <v>26</v>
      </c>
      <c r="J164" s="7"/>
    </row>
    <row r="165" ht="14.25" customHeight="1">
      <c r="A165" s="4" t="s">
        <v>571</v>
      </c>
      <c r="B165" s="4" t="s">
        <v>62</v>
      </c>
      <c r="C165" s="7" t="s">
        <v>572</v>
      </c>
      <c r="D165" s="7" t="s">
        <v>573</v>
      </c>
      <c r="E165" s="7" t="s">
        <v>574</v>
      </c>
      <c r="F165" s="4" t="s">
        <v>25</v>
      </c>
      <c r="G165" s="4" t="s">
        <v>4</v>
      </c>
      <c r="H165" s="4" t="s">
        <v>26</v>
      </c>
      <c r="I165" s="4" t="s">
        <v>26</v>
      </c>
      <c r="J165" s="7"/>
    </row>
    <row r="166" ht="14.25" customHeight="1">
      <c r="A166" s="4" t="s">
        <v>575</v>
      </c>
      <c r="B166" s="4" t="s">
        <v>62</v>
      </c>
      <c r="C166" s="7" t="s">
        <v>576</v>
      </c>
      <c r="D166" s="7" t="s">
        <v>482</v>
      </c>
      <c r="E166" s="7" t="s">
        <v>577</v>
      </c>
      <c r="F166" s="4" t="s">
        <v>25</v>
      </c>
      <c r="G166" s="4" t="s">
        <v>4</v>
      </c>
      <c r="H166" s="4" t="s">
        <v>26</v>
      </c>
      <c r="I166" s="4" t="s">
        <v>26</v>
      </c>
      <c r="J166" s="7"/>
    </row>
    <row r="167" ht="14.25" customHeight="1">
      <c r="A167" s="4" t="s">
        <v>578</v>
      </c>
      <c r="B167" s="4" t="s">
        <v>62</v>
      </c>
      <c r="C167" s="7" t="s">
        <v>579</v>
      </c>
      <c r="D167" s="7" t="s">
        <v>404</v>
      </c>
      <c r="E167" s="7" t="s">
        <v>580</v>
      </c>
      <c r="F167" s="4" t="s">
        <v>25</v>
      </c>
      <c r="G167" s="4" t="s">
        <v>4</v>
      </c>
      <c r="H167" s="4" t="s">
        <v>26</v>
      </c>
      <c r="I167" s="4" t="s">
        <v>26</v>
      </c>
      <c r="J167" s="7"/>
    </row>
    <row r="168" ht="14.25" customHeight="1">
      <c r="A168" s="4" t="s">
        <v>581</v>
      </c>
      <c r="B168" s="4" t="s">
        <v>62</v>
      </c>
      <c r="C168" s="7" t="s">
        <v>582</v>
      </c>
      <c r="D168" s="7" t="s">
        <v>583</v>
      </c>
      <c r="E168" s="7" t="s">
        <v>584</v>
      </c>
      <c r="F168" s="4" t="s">
        <v>25</v>
      </c>
      <c r="G168" s="4" t="s">
        <v>4</v>
      </c>
      <c r="H168" s="4" t="s">
        <v>26</v>
      </c>
      <c r="I168" s="4" t="s">
        <v>26</v>
      </c>
      <c r="J168" s="7"/>
    </row>
    <row r="169" ht="14.25" customHeight="1">
      <c r="A169" s="4" t="s">
        <v>585</v>
      </c>
      <c r="B169" s="4" t="s">
        <v>62</v>
      </c>
      <c r="C169" s="7" t="s">
        <v>586</v>
      </c>
      <c r="D169" s="7" t="s">
        <v>587</v>
      </c>
      <c r="E169" s="7" t="s">
        <v>588</v>
      </c>
      <c r="F169" s="4" t="s">
        <v>25</v>
      </c>
      <c r="G169" s="4" t="s">
        <v>4</v>
      </c>
      <c r="H169" s="4" t="s">
        <v>26</v>
      </c>
      <c r="I169" s="4" t="s">
        <v>26</v>
      </c>
      <c r="J169" s="7"/>
    </row>
    <row r="170" ht="14.25" customHeight="1">
      <c r="A170" s="4" t="s">
        <v>589</v>
      </c>
      <c r="B170" s="4" t="s">
        <v>62</v>
      </c>
      <c r="C170" s="7" t="s">
        <v>590</v>
      </c>
      <c r="D170" s="7" t="s">
        <v>591</v>
      </c>
      <c r="E170" s="7" t="s">
        <v>592</v>
      </c>
      <c r="F170" s="4" t="s">
        <v>25</v>
      </c>
      <c r="G170" s="4" t="s">
        <v>4</v>
      </c>
      <c r="H170" s="4" t="s">
        <v>26</v>
      </c>
      <c r="I170" s="4" t="s">
        <v>26</v>
      </c>
      <c r="J170" s="7"/>
    </row>
    <row r="171" ht="14.25" customHeight="1">
      <c r="A171" s="4" t="s">
        <v>593</v>
      </c>
      <c r="B171" s="4" t="s">
        <v>62</v>
      </c>
      <c r="C171" s="7" t="s">
        <v>594</v>
      </c>
      <c r="D171" s="7" t="s">
        <v>595</v>
      </c>
      <c r="E171" s="7" t="s">
        <v>596</v>
      </c>
      <c r="F171" s="4" t="s">
        <v>25</v>
      </c>
      <c r="G171" s="4" t="s">
        <v>4</v>
      </c>
      <c r="H171" s="4" t="s">
        <v>26</v>
      </c>
      <c r="I171" s="4" t="s">
        <v>26</v>
      </c>
      <c r="J171" s="7"/>
    </row>
    <row r="172" ht="14.25" customHeight="1">
      <c r="A172" s="4" t="s">
        <v>597</v>
      </c>
      <c r="B172" s="4" t="s">
        <v>66</v>
      </c>
      <c r="C172" s="7" t="s">
        <v>598</v>
      </c>
      <c r="D172" s="7" t="s">
        <v>599</v>
      </c>
      <c r="E172" s="7" t="s">
        <v>600</v>
      </c>
      <c r="F172" s="4" t="s">
        <v>25</v>
      </c>
      <c r="G172" s="4" t="s">
        <v>4</v>
      </c>
      <c r="H172" s="4" t="s">
        <v>26</v>
      </c>
      <c r="I172" s="4" t="s">
        <v>26</v>
      </c>
      <c r="J172" s="7" t="s">
        <v>601</v>
      </c>
    </row>
    <row r="173" ht="14.25" customHeight="1">
      <c r="A173" s="4" t="s">
        <v>602</v>
      </c>
      <c r="B173" s="4" t="s">
        <v>66</v>
      </c>
      <c r="C173" s="7" t="s">
        <v>603</v>
      </c>
      <c r="D173" s="7" t="s">
        <v>604</v>
      </c>
      <c r="E173" s="7" t="s">
        <v>605</v>
      </c>
      <c r="F173" s="4" t="s">
        <v>25</v>
      </c>
      <c r="G173" s="4" t="s">
        <v>4</v>
      </c>
      <c r="H173" s="4" t="s">
        <v>26</v>
      </c>
      <c r="I173" s="4" t="s">
        <v>26</v>
      </c>
      <c r="J173" s="7" t="s">
        <v>606</v>
      </c>
    </row>
    <row r="174" ht="14.25" customHeight="1">
      <c r="A174" s="4" t="s">
        <v>607</v>
      </c>
      <c r="B174" s="4" t="s">
        <v>66</v>
      </c>
      <c r="C174" s="7" t="s">
        <v>608</v>
      </c>
      <c r="D174" s="7" t="s">
        <v>609</v>
      </c>
      <c r="E174" s="7" t="s">
        <v>610</v>
      </c>
      <c r="F174" s="4" t="s">
        <v>25</v>
      </c>
      <c r="G174" s="4" t="s">
        <v>4</v>
      </c>
      <c r="H174" s="4" t="s">
        <v>26</v>
      </c>
      <c r="I174" s="4" t="s">
        <v>26</v>
      </c>
      <c r="J174" s="7" t="s">
        <v>611</v>
      </c>
    </row>
    <row r="175" ht="14.25" customHeight="1">
      <c r="A175" s="4" t="s">
        <v>612</v>
      </c>
      <c r="B175" s="4" t="s">
        <v>66</v>
      </c>
      <c r="C175" s="7" t="s">
        <v>613</v>
      </c>
      <c r="D175" s="7" t="s">
        <v>614</v>
      </c>
      <c r="E175" s="7" t="s">
        <v>615</v>
      </c>
      <c r="F175" s="4" t="s">
        <v>25</v>
      </c>
      <c r="G175" s="4" t="s">
        <v>4</v>
      </c>
      <c r="H175" s="4" t="s">
        <v>26</v>
      </c>
      <c r="I175" s="4" t="s">
        <v>26</v>
      </c>
      <c r="J175" s="7" t="s">
        <v>616</v>
      </c>
    </row>
    <row r="176" ht="14.25" customHeight="1">
      <c r="A176" s="4" t="s">
        <v>617</v>
      </c>
      <c r="B176" s="4" t="s">
        <v>66</v>
      </c>
      <c r="C176" s="7" t="s">
        <v>618</v>
      </c>
      <c r="D176" s="7" t="s">
        <v>619</v>
      </c>
      <c r="E176" s="7" t="s">
        <v>620</v>
      </c>
      <c r="F176" s="4" t="s">
        <v>25</v>
      </c>
      <c r="G176" s="4" t="s">
        <v>4</v>
      </c>
      <c r="H176" s="4" t="s">
        <v>26</v>
      </c>
      <c r="I176" s="4" t="s">
        <v>26</v>
      </c>
      <c r="J176" s="7" t="s">
        <v>621</v>
      </c>
    </row>
    <row r="177" ht="14.25" customHeight="1">
      <c r="A177" s="4" t="s">
        <v>622</v>
      </c>
      <c r="B177" s="4" t="s">
        <v>66</v>
      </c>
      <c r="C177" s="7" t="s">
        <v>623</v>
      </c>
      <c r="D177" s="7" t="s">
        <v>624</v>
      </c>
      <c r="E177" s="7" t="s">
        <v>625</v>
      </c>
      <c r="F177" s="4" t="s">
        <v>25</v>
      </c>
      <c r="G177" s="4" t="s">
        <v>4</v>
      </c>
      <c r="H177" s="4" t="s">
        <v>26</v>
      </c>
      <c r="I177" s="4" t="s">
        <v>26</v>
      </c>
      <c r="J177" s="7" t="s">
        <v>626</v>
      </c>
    </row>
    <row r="178" ht="14.25" customHeight="1">
      <c r="A178" s="4" t="s">
        <v>627</v>
      </c>
      <c r="B178" s="4" t="s">
        <v>66</v>
      </c>
      <c r="C178" s="7" t="s">
        <v>628</v>
      </c>
      <c r="D178" s="7" t="s">
        <v>629</v>
      </c>
      <c r="E178" s="7" t="s">
        <v>630</v>
      </c>
      <c r="F178" s="4" t="s">
        <v>25</v>
      </c>
      <c r="G178" s="4" t="s">
        <v>4</v>
      </c>
      <c r="H178" s="4" t="s">
        <v>26</v>
      </c>
      <c r="I178" s="4" t="s">
        <v>26</v>
      </c>
      <c r="J178" s="7" t="s">
        <v>631</v>
      </c>
    </row>
    <row r="179" ht="14.25" customHeight="1">
      <c r="A179" s="4" t="s">
        <v>632</v>
      </c>
      <c r="B179" s="4" t="s">
        <v>66</v>
      </c>
      <c r="C179" s="7" t="s">
        <v>633</v>
      </c>
      <c r="D179" s="7" t="s">
        <v>634</v>
      </c>
      <c r="E179" s="7" t="s">
        <v>635</v>
      </c>
      <c r="F179" s="4" t="s">
        <v>25</v>
      </c>
      <c r="G179" s="4" t="s">
        <v>4</v>
      </c>
      <c r="H179" s="4" t="s">
        <v>26</v>
      </c>
      <c r="I179" s="4" t="s">
        <v>26</v>
      </c>
      <c r="J179" s="7" t="s">
        <v>636</v>
      </c>
    </row>
    <row r="180" ht="14.25" customHeight="1">
      <c r="A180" s="4" t="s">
        <v>637</v>
      </c>
      <c r="B180" s="4" t="s">
        <v>66</v>
      </c>
      <c r="C180" s="7" t="s">
        <v>638</v>
      </c>
      <c r="D180" s="7" t="s">
        <v>639</v>
      </c>
      <c r="E180" s="7" t="s">
        <v>640</v>
      </c>
      <c r="F180" s="4" t="s">
        <v>25</v>
      </c>
      <c r="G180" s="4" t="s">
        <v>4</v>
      </c>
      <c r="H180" s="4" t="s">
        <v>26</v>
      </c>
      <c r="I180" s="4" t="s">
        <v>26</v>
      </c>
      <c r="J180" s="7" t="s">
        <v>641</v>
      </c>
    </row>
    <row r="181" ht="14.25" customHeight="1">
      <c r="A181" s="4" t="s">
        <v>642</v>
      </c>
      <c r="B181" s="4" t="s">
        <v>66</v>
      </c>
      <c r="C181" s="7" t="s">
        <v>643</v>
      </c>
      <c r="D181" s="7" t="s">
        <v>644</v>
      </c>
      <c r="E181" s="7" t="s">
        <v>645</v>
      </c>
      <c r="F181" s="4" t="s">
        <v>25</v>
      </c>
      <c r="G181" s="4" t="s">
        <v>4</v>
      </c>
      <c r="H181" s="4" t="s">
        <v>26</v>
      </c>
      <c r="I181" s="4" t="s">
        <v>26</v>
      </c>
      <c r="J181" s="7" t="s">
        <v>646</v>
      </c>
    </row>
    <row r="182" ht="14.25" customHeight="1">
      <c r="A182" s="4" t="s">
        <v>647</v>
      </c>
      <c r="B182" s="4" t="s">
        <v>66</v>
      </c>
      <c r="C182" s="7" t="s">
        <v>648</v>
      </c>
      <c r="D182" s="7" t="s">
        <v>649</v>
      </c>
      <c r="E182" s="7" t="s">
        <v>650</v>
      </c>
      <c r="F182" s="4" t="s">
        <v>25</v>
      </c>
      <c r="G182" s="4" t="s">
        <v>4</v>
      </c>
      <c r="H182" s="4" t="s">
        <v>26</v>
      </c>
      <c r="I182" s="4" t="s">
        <v>26</v>
      </c>
      <c r="J182" s="7" t="s">
        <v>651</v>
      </c>
    </row>
    <row r="183" ht="14.25" customHeight="1">
      <c r="A183" s="4" t="s">
        <v>652</v>
      </c>
      <c r="B183" s="4" t="s">
        <v>66</v>
      </c>
      <c r="C183" s="7" t="s">
        <v>653</v>
      </c>
      <c r="D183" s="7" t="s">
        <v>654</v>
      </c>
      <c r="E183" s="7" t="s">
        <v>655</v>
      </c>
      <c r="F183" s="4" t="s">
        <v>25</v>
      </c>
      <c r="G183" s="4" t="s">
        <v>4</v>
      </c>
      <c r="H183" s="4" t="s">
        <v>26</v>
      </c>
      <c r="I183" s="4" t="s">
        <v>26</v>
      </c>
      <c r="J183" s="7" t="s">
        <v>656</v>
      </c>
    </row>
    <row r="184" ht="14.25" customHeight="1">
      <c r="A184" s="4" t="s">
        <v>657</v>
      </c>
      <c r="B184" s="4" t="s">
        <v>66</v>
      </c>
      <c r="C184" s="7" t="s">
        <v>658</v>
      </c>
      <c r="D184" s="7" t="s">
        <v>604</v>
      </c>
      <c r="E184" s="7" t="s">
        <v>659</v>
      </c>
      <c r="F184" s="4" t="s">
        <v>25</v>
      </c>
      <c r="G184" s="4" t="s">
        <v>4</v>
      </c>
      <c r="H184" s="4" t="s">
        <v>26</v>
      </c>
      <c r="I184" s="4" t="s">
        <v>26</v>
      </c>
      <c r="J184" s="7" t="s">
        <v>660</v>
      </c>
    </row>
    <row r="185" ht="14.25" customHeight="1">
      <c r="A185" s="4" t="s">
        <v>661</v>
      </c>
      <c r="B185" s="4" t="s">
        <v>66</v>
      </c>
      <c r="C185" s="7" t="s">
        <v>662</v>
      </c>
      <c r="D185" s="7" t="s">
        <v>663</v>
      </c>
      <c r="E185" s="7" t="s">
        <v>664</v>
      </c>
      <c r="F185" s="4" t="s">
        <v>25</v>
      </c>
      <c r="G185" s="4" t="s">
        <v>4</v>
      </c>
      <c r="H185" s="4" t="s">
        <v>26</v>
      </c>
      <c r="I185" s="4" t="s">
        <v>26</v>
      </c>
      <c r="J185" s="7" t="s">
        <v>665</v>
      </c>
    </row>
    <row r="186" ht="14.25" customHeight="1">
      <c r="A186" s="4" t="s">
        <v>666</v>
      </c>
      <c r="B186" s="4" t="s">
        <v>66</v>
      </c>
      <c r="C186" s="7" t="s">
        <v>667</v>
      </c>
      <c r="D186" s="7" t="s">
        <v>639</v>
      </c>
      <c r="E186" s="7" t="s">
        <v>668</v>
      </c>
      <c r="F186" s="4" t="s">
        <v>25</v>
      </c>
      <c r="G186" s="4" t="s">
        <v>4</v>
      </c>
      <c r="H186" s="4" t="s">
        <v>26</v>
      </c>
      <c r="I186" s="4" t="s">
        <v>26</v>
      </c>
      <c r="J186" s="7" t="s">
        <v>669</v>
      </c>
    </row>
    <row r="187" ht="14.25" customHeight="1">
      <c r="A187" s="4" t="s">
        <v>670</v>
      </c>
      <c r="B187" s="4" t="s">
        <v>66</v>
      </c>
      <c r="C187" s="7" t="s">
        <v>671</v>
      </c>
      <c r="D187" s="7" t="s">
        <v>639</v>
      </c>
      <c r="E187" s="7" t="s">
        <v>672</v>
      </c>
      <c r="F187" s="4" t="s">
        <v>25</v>
      </c>
      <c r="G187" s="4" t="s">
        <v>4</v>
      </c>
      <c r="H187" s="4" t="s">
        <v>26</v>
      </c>
      <c r="I187" s="4" t="s">
        <v>26</v>
      </c>
      <c r="J187" s="7" t="s">
        <v>669</v>
      </c>
    </row>
    <row r="188" ht="14.25" customHeight="1">
      <c r="A188" s="4" t="s">
        <v>673</v>
      </c>
      <c r="B188" s="4" t="s">
        <v>66</v>
      </c>
      <c r="C188" s="7" t="s">
        <v>674</v>
      </c>
      <c r="D188" s="7" t="s">
        <v>675</v>
      </c>
      <c r="E188" s="7" t="s">
        <v>676</v>
      </c>
      <c r="F188" s="4" t="s">
        <v>25</v>
      </c>
      <c r="G188" s="4" t="s">
        <v>4</v>
      </c>
      <c r="H188" s="4" t="s">
        <v>26</v>
      </c>
      <c r="I188" s="4" t="s">
        <v>26</v>
      </c>
      <c r="J188" s="7" t="s">
        <v>677</v>
      </c>
    </row>
    <row r="189" ht="14.25" customHeight="1">
      <c r="A189" s="4" t="s">
        <v>678</v>
      </c>
      <c r="B189" s="4" t="s">
        <v>66</v>
      </c>
      <c r="C189" s="7" t="s">
        <v>679</v>
      </c>
      <c r="D189" s="7" t="s">
        <v>639</v>
      </c>
      <c r="E189" s="7" t="s">
        <v>680</v>
      </c>
      <c r="F189" s="4" t="s">
        <v>25</v>
      </c>
      <c r="G189" s="4" t="s">
        <v>4</v>
      </c>
      <c r="H189" s="4" t="s">
        <v>26</v>
      </c>
      <c r="I189" s="4" t="s">
        <v>26</v>
      </c>
      <c r="J189" s="7" t="s">
        <v>669</v>
      </c>
    </row>
    <row r="190" ht="14.25" customHeight="1">
      <c r="A190" s="4" t="s">
        <v>681</v>
      </c>
      <c r="B190" s="4" t="s">
        <v>66</v>
      </c>
      <c r="C190" s="7" t="s">
        <v>682</v>
      </c>
      <c r="D190" s="7" t="s">
        <v>683</v>
      </c>
      <c r="E190" s="7" t="s">
        <v>684</v>
      </c>
      <c r="F190" s="4" t="s">
        <v>25</v>
      </c>
      <c r="G190" s="4" t="s">
        <v>4</v>
      </c>
      <c r="H190" s="4" t="s">
        <v>26</v>
      </c>
      <c r="I190" s="4" t="s">
        <v>26</v>
      </c>
      <c r="J190" s="7" t="s">
        <v>685</v>
      </c>
    </row>
    <row r="191" ht="14.25" customHeight="1">
      <c r="A191" s="4" t="s">
        <v>686</v>
      </c>
      <c r="B191" s="4" t="s">
        <v>66</v>
      </c>
      <c r="C191" s="7" t="s">
        <v>687</v>
      </c>
      <c r="D191" s="7" t="s">
        <v>688</v>
      </c>
      <c r="E191" s="7" t="s">
        <v>689</v>
      </c>
      <c r="F191" s="4" t="s">
        <v>25</v>
      </c>
      <c r="G191" s="4" t="s">
        <v>4</v>
      </c>
      <c r="H191" s="4" t="s">
        <v>26</v>
      </c>
      <c r="I191" s="4" t="s">
        <v>26</v>
      </c>
      <c r="J191" s="7" t="s">
        <v>690</v>
      </c>
    </row>
    <row r="192" ht="14.25" customHeight="1">
      <c r="A192" s="4" t="s">
        <v>691</v>
      </c>
      <c r="B192" s="4" t="s">
        <v>66</v>
      </c>
      <c r="C192" s="7" t="s">
        <v>692</v>
      </c>
      <c r="D192" s="7" t="s">
        <v>693</v>
      </c>
      <c r="E192" s="7" t="s">
        <v>694</v>
      </c>
      <c r="F192" s="4" t="s">
        <v>25</v>
      </c>
      <c r="G192" s="4" t="s">
        <v>4</v>
      </c>
      <c r="H192" s="4" t="s">
        <v>26</v>
      </c>
      <c r="I192" s="4" t="s">
        <v>26</v>
      </c>
      <c r="J192" s="7" t="s">
        <v>695</v>
      </c>
    </row>
    <row r="193" ht="14.25" customHeight="1">
      <c r="A193" s="4" t="s">
        <v>696</v>
      </c>
      <c r="B193" s="4" t="s">
        <v>66</v>
      </c>
      <c r="C193" s="7" t="s">
        <v>697</v>
      </c>
      <c r="D193" s="7" t="s">
        <v>698</v>
      </c>
      <c r="E193" s="7" t="s">
        <v>699</v>
      </c>
      <c r="F193" s="4" t="s">
        <v>25</v>
      </c>
      <c r="G193" s="4" t="s">
        <v>4</v>
      </c>
      <c r="H193" s="4" t="s">
        <v>26</v>
      </c>
      <c r="I193" s="4" t="s">
        <v>26</v>
      </c>
      <c r="J193" s="7" t="s">
        <v>700</v>
      </c>
    </row>
    <row r="194" ht="14.25" customHeight="1">
      <c r="A194" s="4" t="s">
        <v>701</v>
      </c>
      <c r="B194" s="4" t="s">
        <v>66</v>
      </c>
      <c r="C194" s="7" t="s">
        <v>702</v>
      </c>
      <c r="D194" s="7" t="s">
        <v>703</v>
      </c>
      <c r="E194" s="7" t="s">
        <v>704</v>
      </c>
      <c r="F194" s="4" t="s">
        <v>25</v>
      </c>
      <c r="G194" s="4" t="s">
        <v>4</v>
      </c>
      <c r="H194" s="4" t="s">
        <v>26</v>
      </c>
      <c r="I194" s="4" t="s">
        <v>26</v>
      </c>
      <c r="J194" s="7" t="s">
        <v>705</v>
      </c>
    </row>
    <row r="195" ht="14.25" customHeight="1">
      <c r="A195" s="4" t="s">
        <v>706</v>
      </c>
      <c r="B195" s="4" t="s">
        <v>66</v>
      </c>
      <c r="C195" s="7" t="s">
        <v>707</v>
      </c>
      <c r="D195" s="7" t="s">
        <v>708</v>
      </c>
      <c r="E195" s="7" t="s">
        <v>709</v>
      </c>
      <c r="F195" s="4" t="s">
        <v>25</v>
      </c>
      <c r="G195" s="4" t="s">
        <v>4</v>
      </c>
      <c r="H195" s="4" t="s">
        <v>26</v>
      </c>
      <c r="I195" s="4" t="s">
        <v>26</v>
      </c>
      <c r="J195" s="7" t="s">
        <v>710</v>
      </c>
    </row>
    <row r="196" ht="14.25" customHeight="1">
      <c r="A196" s="4" t="s">
        <v>711</v>
      </c>
      <c r="B196" s="4" t="s">
        <v>66</v>
      </c>
      <c r="C196" s="7" t="s">
        <v>712</v>
      </c>
      <c r="D196" s="7" t="s">
        <v>713</v>
      </c>
      <c r="E196" s="7" t="s">
        <v>714</v>
      </c>
      <c r="F196" s="4" t="s">
        <v>25</v>
      </c>
      <c r="G196" s="4" t="s">
        <v>4</v>
      </c>
      <c r="H196" s="4" t="s">
        <v>26</v>
      </c>
      <c r="I196" s="4" t="s">
        <v>26</v>
      </c>
      <c r="J196" s="7" t="s">
        <v>715</v>
      </c>
    </row>
    <row r="197" ht="14.25" customHeight="1">
      <c r="A197" s="4" t="s">
        <v>716</v>
      </c>
      <c r="B197" s="4" t="s">
        <v>66</v>
      </c>
      <c r="C197" s="7" t="s">
        <v>717</v>
      </c>
      <c r="D197" s="7" t="s">
        <v>718</v>
      </c>
      <c r="E197" s="7" t="s">
        <v>719</v>
      </c>
      <c r="F197" s="4" t="s">
        <v>25</v>
      </c>
      <c r="G197" s="4" t="s">
        <v>4</v>
      </c>
      <c r="H197" s="4" t="s">
        <v>26</v>
      </c>
      <c r="I197" s="4" t="s">
        <v>26</v>
      </c>
      <c r="J197" s="7" t="s">
        <v>720</v>
      </c>
    </row>
    <row r="198" ht="14.25" customHeight="1">
      <c r="A198" s="4" t="s">
        <v>721</v>
      </c>
      <c r="B198" s="4" t="s">
        <v>66</v>
      </c>
      <c r="C198" s="7" t="s">
        <v>722</v>
      </c>
      <c r="D198" s="7" t="s">
        <v>604</v>
      </c>
      <c r="E198" s="7" t="s">
        <v>723</v>
      </c>
      <c r="F198" s="4" t="s">
        <v>25</v>
      </c>
      <c r="G198" s="4" t="s">
        <v>4</v>
      </c>
      <c r="H198" s="4" t="s">
        <v>26</v>
      </c>
      <c r="I198" s="4" t="s">
        <v>26</v>
      </c>
      <c r="J198" s="7" t="s">
        <v>660</v>
      </c>
    </row>
    <row r="199" ht="14.25" customHeight="1">
      <c r="A199" s="4" t="s">
        <v>724</v>
      </c>
      <c r="B199" s="4" t="s">
        <v>66</v>
      </c>
      <c r="C199" s="7" t="s">
        <v>725</v>
      </c>
      <c r="D199" s="7" t="s">
        <v>604</v>
      </c>
      <c r="E199" s="7" t="s">
        <v>726</v>
      </c>
      <c r="F199" s="4" t="s">
        <v>25</v>
      </c>
      <c r="G199" s="4" t="s">
        <v>4</v>
      </c>
      <c r="H199" s="4" t="s">
        <v>26</v>
      </c>
      <c r="I199" s="4" t="s">
        <v>26</v>
      </c>
      <c r="J199" s="7" t="s">
        <v>660</v>
      </c>
    </row>
    <row r="200" ht="14.25" customHeight="1">
      <c r="A200" s="4" t="s">
        <v>727</v>
      </c>
      <c r="B200" s="4" t="s">
        <v>66</v>
      </c>
      <c r="C200" s="7" t="s">
        <v>728</v>
      </c>
      <c r="D200" s="7" t="s">
        <v>619</v>
      </c>
      <c r="E200" s="7" t="s">
        <v>729</v>
      </c>
      <c r="F200" s="4" t="s">
        <v>25</v>
      </c>
      <c r="G200" s="4" t="s">
        <v>4</v>
      </c>
      <c r="H200" s="4" t="s">
        <v>26</v>
      </c>
      <c r="I200" s="4" t="s">
        <v>26</v>
      </c>
      <c r="J200" s="7" t="s">
        <v>621</v>
      </c>
    </row>
    <row r="201" ht="14.25" customHeight="1">
      <c r="A201" s="4" t="s">
        <v>730</v>
      </c>
      <c r="B201" s="4" t="s">
        <v>66</v>
      </c>
      <c r="C201" s="7" t="s">
        <v>731</v>
      </c>
      <c r="D201" s="7" t="s">
        <v>732</v>
      </c>
      <c r="E201" s="7" t="s">
        <v>733</v>
      </c>
      <c r="F201" s="4" t="s">
        <v>25</v>
      </c>
      <c r="G201" s="4" t="s">
        <v>4</v>
      </c>
      <c r="H201" s="4" t="s">
        <v>26</v>
      </c>
      <c r="I201" s="4" t="s">
        <v>26</v>
      </c>
      <c r="J201" s="7" t="s">
        <v>734</v>
      </c>
    </row>
    <row r="202" ht="14.25" customHeight="1">
      <c r="A202" s="4" t="s">
        <v>735</v>
      </c>
      <c r="B202" s="4" t="s">
        <v>66</v>
      </c>
      <c r="C202" s="7" t="s">
        <v>736</v>
      </c>
      <c r="D202" s="7" t="s">
        <v>708</v>
      </c>
      <c r="E202" s="7" t="s">
        <v>737</v>
      </c>
      <c r="F202" s="4" t="s">
        <v>25</v>
      </c>
      <c r="G202" s="4" t="s">
        <v>4</v>
      </c>
      <c r="H202" s="4" t="s">
        <v>26</v>
      </c>
      <c r="I202" s="4" t="s">
        <v>26</v>
      </c>
      <c r="J202" s="7" t="s">
        <v>710</v>
      </c>
    </row>
    <row r="203" ht="14.25" customHeight="1">
      <c r="A203" s="4" t="s">
        <v>738</v>
      </c>
      <c r="B203" s="4" t="s">
        <v>66</v>
      </c>
      <c r="C203" s="7" t="s">
        <v>739</v>
      </c>
      <c r="D203" s="7" t="s">
        <v>740</v>
      </c>
      <c r="E203" s="7" t="s">
        <v>741</v>
      </c>
      <c r="F203" s="4" t="s">
        <v>25</v>
      </c>
      <c r="G203" s="4" t="s">
        <v>4</v>
      </c>
      <c r="H203" s="4" t="s">
        <v>26</v>
      </c>
      <c r="I203" s="4" t="s">
        <v>26</v>
      </c>
      <c r="J203" s="7" t="s">
        <v>742</v>
      </c>
    </row>
    <row r="204" ht="14.25" customHeight="1">
      <c r="A204" s="4" t="s">
        <v>743</v>
      </c>
      <c r="B204" s="4" t="s">
        <v>66</v>
      </c>
      <c r="C204" s="7" t="s">
        <v>744</v>
      </c>
      <c r="D204" s="7" t="s">
        <v>745</v>
      </c>
      <c r="E204" s="7" t="s">
        <v>746</v>
      </c>
      <c r="F204" s="4" t="s">
        <v>25</v>
      </c>
      <c r="G204" s="4" t="s">
        <v>4</v>
      </c>
      <c r="H204" s="4" t="s">
        <v>26</v>
      </c>
      <c r="I204" s="4" t="s">
        <v>26</v>
      </c>
      <c r="J204" s="7" t="s">
        <v>747</v>
      </c>
    </row>
    <row r="205" ht="14.25" customHeight="1">
      <c r="A205" s="4" t="s">
        <v>748</v>
      </c>
      <c r="B205" s="4" t="s">
        <v>66</v>
      </c>
      <c r="C205" s="7" t="s">
        <v>749</v>
      </c>
      <c r="D205" s="7" t="s">
        <v>750</v>
      </c>
      <c r="E205" s="7" t="s">
        <v>751</v>
      </c>
      <c r="F205" s="4" t="s">
        <v>25</v>
      </c>
      <c r="G205" s="4" t="s">
        <v>4</v>
      </c>
      <c r="H205" s="4" t="s">
        <v>26</v>
      </c>
      <c r="I205" s="4" t="s">
        <v>26</v>
      </c>
      <c r="J205" s="7" t="s">
        <v>752</v>
      </c>
    </row>
    <row r="206" ht="14.25" customHeight="1">
      <c r="A206" s="4" t="s">
        <v>753</v>
      </c>
      <c r="B206" s="4" t="s">
        <v>66</v>
      </c>
      <c r="C206" s="7" t="s">
        <v>754</v>
      </c>
      <c r="D206" s="7" t="s">
        <v>755</v>
      </c>
      <c r="E206" s="7" t="s">
        <v>756</v>
      </c>
      <c r="F206" s="4" t="s">
        <v>25</v>
      </c>
      <c r="G206" s="4" t="s">
        <v>4</v>
      </c>
      <c r="H206" s="4" t="s">
        <v>26</v>
      </c>
      <c r="I206" s="4" t="s">
        <v>26</v>
      </c>
      <c r="J206" s="7" t="s">
        <v>757</v>
      </c>
    </row>
    <row r="207" ht="14.25" customHeight="1">
      <c r="A207" s="4" t="s">
        <v>758</v>
      </c>
      <c r="B207" s="4" t="s">
        <v>66</v>
      </c>
      <c r="C207" s="7" t="s">
        <v>759</v>
      </c>
      <c r="D207" s="7" t="s">
        <v>639</v>
      </c>
      <c r="E207" s="7" t="s">
        <v>760</v>
      </c>
      <c r="F207" s="4" t="s">
        <v>25</v>
      </c>
      <c r="G207" s="4" t="s">
        <v>4</v>
      </c>
      <c r="H207" s="4" t="s">
        <v>26</v>
      </c>
      <c r="I207" s="4" t="s">
        <v>26</v>
      </c>
      <c r="J207" s="7" t="s">
        <v>669</v>
      </c>
    </row>
    <row r="208" ht="14.25" customHeight="1">
      <c r="A208" s="4" t="s">
        <v>761</v>
      </c>
      <c r="B208" s="4" t="s">
        <v>66</v>
      </c>
      <c r="C208" s="7" t="s">
        <v>762</v>
      </c>
      <c r="D208" s="7" t="s">
        <v>763</v>
      </c>
      <c r="E208" s="7" t="s">
        <v>764</v>
      </c>
      <c r="F208" s="4" t="s">
        <v>25</v>
      </c>
      <c r="G208" s="4" t="s">
        <v>4</v>
      </c>
      <c r="H208" s="4" t="s">
        <v>26</v>
      </c>
      <c r="I208" s="4" t="s">
        <v>26</v>
      </c>
      <c r="J208" s="7" t="s">
        <v>765</v>
      </c>
    </row>
    <row r="209" ht="14.25" customHeight="1">
      <c r="A209" s="4" t="s">
        <v>766</v>
      </c>
      <c r="B209" s="4" t="s">
        <v>66</v>
      </c>
      <c r="C209" s="7" t="s">
        <v>767</v>
      </c>
      <c r="D209" s="7" t="s">
        <v>639</v>
      </c>
      <c r="E209" s="7" t="s">
        <v>768</v>
      </c>
      <c r="F209" s="4" t="s">
        <v>25</v>
      </c>
      <c r="G209" s="4" t="s">
        <v>4</v>
      </c>
      <c r="H209" s="4" t="s">
        <v>26</v>
      </c>
      <c r="I209" s="4" t="s">
        <v>26</v>
      </c>
      <c r="J209" s="7" t="s">
        <v>669</v>
      </c>
    </row>
    <row r="210" ht="14.25" customHeight="1">
      <c r="A210" s="4" t="s">
        <v>769</v>
      </c>
      <c r="B210" s="4" t="s">
        <v>66</v>
      </c>
      <c r="C210" s="7" t="s">
        <v>770</v>
      </c>
      <c r="D210" s="7" t="s">
        <v>663</v>
      </c>
      <c r="E210" s="7" t="s">
        <v>771</v>
      </c>
      <c r="F210" s="4" t="s">
        <v>25</v>
      </c>
      <c r="G210" s="4" t="s">
        <v>4</v>
      </c>
      <c r="H210" s="4" t="s">
        <v>26</v>
      </c>
      <c r="I210" s="4" t="s">
        <v>26</v>
      </c>
      <c r="J210" s="7" t="s">
        <v>665</v>
      </c>
    </row>
    <row r="211" ht="14.25" customHeight="1">
      <c r="A211" s="4" t="s">
        <v>772</v>
      </c>
      <c r="B211" s="4" t="s">
        <v>66</v>
      </c>
      <c r="C211" s="7" t="s">
        <v>773</v>
      </c>
      <c r="D211" s="7" t="s">
        <v>774</v>
      </c>
      <c r="E211" s="7" t="s">
        <v>775</v>
      </c>
      <c r="F211" s="4" t="s">
        <v>25</v>
      </c>
      <c r="G211" s="4" t="s">
        <v>4</v>
      </c>
      <c r="H211" s="4" t="s">
        <v>26</v>
      </c>
      <c r="I211" s="4" t="s">
        <v>26</v>
      </c>
      <c r="J211" s="7" t="s">
        <v>776</v>
      </c>
    </row>
    <row r="212" ht="14.25" customHeight="1">
      <c r="A212" s="4" t="s">
        <v>777</v>
      </c>
      <c r="B212" s="4" t="s">
        <v>70</v>
      </c>
      <c r="C212" s="7" t="s">
        <v>778</v>
      </c>
      <c r="D212" s="7" t="s">
        <v>779</v>
      </c>
      <c r="E212" s="7" t="s">
        <v>780</v>
      </c>
      <c r="F212" s="4" t="s">
        <v>25</v>
      </c>
      <c r="G212" s="4" t="s">
        <v>4</v>
      </c>
      <c r="H212" s="4" t="s">
        <v>26</v>
      </c>
      <c r="I212" s="4" t="s">
        <v>26</v>
      </c>
      <c r="J212" s="7"/>
    </row>
    <row r="213" ht="14.25" customHeight="1">
      <c r="A213" s="4" t="s">
        <v>781</v>
      </c>
      <c r="B213" s="4" t="s">
        <v>70</v>
      </c>
      <c r="C213" s="7" t="s">
        <v>782</v>
      </c>
      <c r="D213" s="7" t="s">
        <v>779</v>
      </c>
      <c r="E213" s="7" t="s">
        <v>783</v>
      </c>
      <c r="F213" s="4" t="s">
        <v>25</v>
      </c>
      <c r="G213" s="4" t="s">
        <v>4</v>
      </c>
      <c r="H213" s="4" t="s">
        <v>26</v>
      </c>
      <c r="I213" s="4" t="s">
        <v>26</v>
      </c>
      <c r="J213" s="7"/>
    </row>
    <row r="214" ht="14.25" customHeight="1">
      <c r="A214" s="4" t="s">
        <v>784</v>
      </c>
      <c r="B214" s="4" t="s">
        <v>70</v>
      </c>
      <c r="C214" s="7" t="s">
        <v>785</v>
      </c>
      <c r="D214" s="7" t="s">
        <v>779</v>
      </c>
      <c r="E214" s="7" t="s">
        <v>786</v>
      </c>
      <c r="F214" s="4" t="s">
        <v>25</v>
      </c>
      <c r="G214" s="4" t="s">
        <v>4</v>
      </c>
      <c r="H214" s="4" t="s">
        <v>26</v>
      </c>
      <c r="I214" s="4" t="s">
        <v>26</v>
      </c>
      <c r="J214" s="7"/>
    </row>
    <row r="215" ht="14.25" customHeight="1">
      <c r="A215" s="4" t="s">
        <v>787</v>
      </c>
      <c r="B215" s="4" t="s">
        <v>70</v>
      </c>
      <c r="C215" s="7" t="s">
        <v>788</v>
      </c>
      <c r="D215" s="7" t="s">
        <v>779</v>
      </c>
      <c r="E215" s="7" t="s">
        <v>789</v>
      </c>
      <c r="F215" s="4" t="s">
        <v>25</v>
      </c>
      <c r="G215" s="4" t="s">
        <v>4</v>
      </c>
      <c r="H215" s="4" t="s">
        <v>26</v>
      </c>
      <c r="I215" s="4" t="s">
        <v>26</v>
      </c>
      <c r="J215" s="7"/>
    </row>
    <row r="216" ht="14.25" customHeight="1">
      <c r="A216" s="4" t="s">
        <v>790</v>
      </c>
      <c r="B216" s="4" t="s">
        <v>70</v>
      </c>
      <c r="C216" s="7" t="s">
        <v>791</v>
      </c>
      <c r="D216" s="7" t="s">
        <v>779</v>
      </c>
      <c r="E216" s="7" t="s">
        <v>792</v>
      </c>
      <c r="F216" s="4" t="s">
        <v>25</v>
      </c>
      <c r="G216" s="4" t="s">
        <v>4</v>
      </c>
      <c r="H216" s="4" t="s">
        <v>26</v>
      </c>
      <c r="I216" s="4" t="s">
        <v>26</v>
      </c>
      <c r="J216" s="7"/>
    </row>
    <row r="217" ht="14.25" customHeight="1">
      <c r="A217" s="4" t="s">
        <v>793</v>
      </c>
      <c r="B217" s="4" t="s">
        <v>70</v>
      </c>
      <c r="C217" s="7" t="s">
        <v>794</v>
      </c>
      <c r="D217" s="7" t="s">
        <v>779</v>
      </c>
      <c r="E217" s="7" t="s">
        <v>795</v>
      </c>
      <c r="F217" s="4" t="s">
        <v>25</v>
      </c>
      <c r="G217" s="4" t="s">
        <v>4</v>
      </c>
      <c r="H217" s="4" t="s">
        <v>26</v>
      </c>
      <c r="I217" s="4" t="s">
        <v>26</v>
      </c>
      <c r="J217" s="7"/>
    </row>
    <row r="218" ht="14.25" customHeight="1">
      <c r="A218" s="4" t="s">
        <v>796</v>
      </c>
      <c r="B218" s="4" t="s">
        <v>70</v>
      </c>
      <c r="C218" s="7" t="s">
        <v>797</v>
      </c>
      <c r="D218" s="7" t="s">
        <v>779</v>
      </c>
      <c r="E218" s="7" t="s">
        <v>798</v>
      </c>
      <c r="F218" s="4" t="s">
        <v>25</v>
      </c>
      <c r="G218" s="4" t="s">
        <v>4</v>
      </c>
      <c r="H218" s="4" t="s">
        <v>26</v>
      </c>
      <c r="I218" s="4" t="s">
        <v>26</v>
      </c>
      <c r="J218" s="7"/>
    </row>
    <row r="219" ht="14.25" customHeight="1">
      <c r="A219" s="4" t="s">
        <v>799</v>
      </c>
      <c r="B219" s="4" t="s">
        <v>70</v>
      </c>
      <c r="C219" s="7" t="s">
        <v>800</v>
      </c>
      <c r="D219" s="7" t="s">
        <v>779</v>
      </c>
      <c r="E219" s="7" t="s">
        <v>801</v>
      </c>
      <c r="F219" s="4" t="s">
        <v>25</v>
      </c>
      <c r="G219" s="4" t="s">
        <v>4</v>
      </c>
      <c r="H219" s="4" t="s">
        <v>26</v>
      </c>
      <c r="I219" s="4" t="s">
        <v>26</v>
      </c>
      <c r="J219" s="7"/>
    </row>
    <row r="220" ht="14.25" customHeight="1">
      <c r="A220" s="4" t="s">
        <v>802</v>
      </c>
      <c r="B220" s="4" t="s">
        <v>70</v>
      </c>
      <c r="C220" s="7" t="s">
        <v>803</v>
      </c>
      <c r="D220" s="7" t="s">
        <v>779</v>
      </c>
      <c r="E220" s="7" t="s">
        <v>804</v>
      </c>
      <c r="F220" s="4" t="s">
        <v>25</v>
      </c>
      <c r="G220" s="4" t="s">
        <v>4</v>
      </c>
      <c r="H220" s="4" t="s">
        <v>26</v>
      </c>
      <c r="I220" s="4" t="s">
        <v>26</v>
      </c>
      <c r="J220" s="7"/>
    </row>
    <row r="221" ht="14.25" customHeight="1">
      <c r="A221" s="4" t="s">
        <v>805</v>
      </c>
      <c r="B221" s="4" t="s">
        <v>70</v>
      </c>
      <c r="C221" s="7" t="s">
        <v>806</v>
      </c>
      <c r="D221" s="7" t="s">
        <v>779</v>
      </c>
      <c r="E221" s="7" t="s">
        <v>807</v>
      </c>
      <c r="F221" s="4" t="s">
        <v>25</v>
      </c>
      <c r="G221" s="4" t="s">
        <v>4</v>
      </c>
      <c r="H221" s="4" t="s">
        <v>26</v>
      </c>
      <c r="I221" s="4" t="s">
        <v>26</v>
      </c>
      <c r="J221" s="7"/>
    </row>
    <row r="222" ht="14.25" customHeight="1">
      <c r="A222" s="4" t="s">
        <v>808</v>
      </c>
      <c r="B222" s="4" t="s">
        <v>70</v>
      </c>
      <c r="C222" s="7" t="s">
        <v>809</v>
      </c>
      <c r="D222" s="7" t="s">
        <v>779</v>
      </c>
      <c r="E222" s="7" t="s">
        <v>810</v>
      </c>
      <c r="F222" s="4" t="s">
        <v>25</v>
      </c>
      <c r="G222" s="4" t="s">
        <v>4</v>
      </c>
      <c r="H222" s="4" t="s">
        <v>26</v>
      </c>
      <c r="I222" s="4" t="s">
        <v>26</v>
      </c>
      <c r="J222" s="7"/>
    </row>
    <row r="223" ht="14.25" customHeight="1">
      <c r="A223" s="4" t="s">
        <v>811</v>
      </c>
      <c r="B223" s="4" t="s">
        <v>70</v>
      </c>
      <c r="C223" s="7" t="s">
        <v>812</v>
      </c>
      <c r="D223" s="7" t="s">
        <v>779</v>
      </c>
      <c r="E223" s="7" t="s">
        <v>813</v>
      </c>
      <c r="F223" s="4" t="s">
        <v>25</v>
      </c>
      <c r="G223" s="4" t="s">
        <v>4</v>
      </c>
      <c r="H223" s="4" t="s">
        <v>26</v>
      </c>
      <c r="I223" s="4" t="s">
        <v>26</v>
      </c>
      <c r="J223" s="7"/>
    </row>
    <row r="224" ht="14.25" customHeight="1">
      <c r="A224" s="4" t="s">
        <v>814</v>
      </c>
      <c r="B224" s="4" t="s">
        <v>70</v>
      </c>
      <c r="C224" s="7" t="s">
        <v>815</v>
      </c>
      <c r="D224" s="7" t="s">
        <v>779</v>
      </c>
      <c r="E224" s="7" t="s">
        <v>816</v>
      </c>
      <c r="F224" s="4" t="s">
        <v>25</v>
      </c>
      <c r="G224" s="4" t="s">
        <v>4</v>
      </c>
      <c r="H224" s="4" t="s">
        <v>26</v>
      </c>
      <c r="I224" s="4" t="s">
        <v>26</v>
      </c>
      <c r="J224" s="7"/>
    </row>
    <row r="225" ht="14.25" customHeight="1">
      <c r="A225" s="4" t="s">
        <v>817</v>
      </c>
      <c r="B225" s="4" t="s">
        <v>70</v>
      </c>
      <c r="C225" s="7" t="s">
        <v>818</v>
      </c>
      <c r="D225" s="7" t="s">
        <v>779</v>
      </c>
      <c r="E225" s="7" t="s">
        <v>819</v>
      </c>
      <c r="F225" s="4" t="s">
        <v>25</v>
      </c>
      <c r="G225" s="4" t="s">
        <v>4</v>
      </c>
      <c r="H225" s="4" t="s">
        <v>26</v>
      </c>
      <c r="I225" s="4" t="s">
        <v>26</v>
      </c>
      <c r="J225" s="7"/>
    </row>
    <row r="226" ht="14.25" customHeight="1">
      <c r="A226" s="4" t="s">
        <v>820</v>
      </c>
      <c r="B226" s="4" t="s">
        <v>70</v>
      </c>
      <c r="C226" s="7" t="s">
        <v>821</v>
      </c>
      <c r="D226" s="7" t="s">
        <v>779</v>
      </c>
      <c r="E226" s="7" t="s">
        <v>822</v>
      </c>
      <c r="F226" s="4" t="s">
        <v>25</v>
      </c>
      <c r="G226" s="4" t="s">
        <v>4</v>
      </c>
      <c r="H226" s="4" t="s">
        <v>26</v>
      </c>
      <c r="I226" s="4" t="s">
        <v>26</v>
      </c>
      <c r="J226" s="7"/>
    </row>
    <row r="227" ht="14.25" customHeight="1">
      <c r="A227" s="4" t="s">
        <v>823</v>
      </c>
      <c r="B227" s="4" t="s">
        <v>70</v>
      </c>
      <c r="C227" s="7" t="s">
        <v>824</v>
      </c>
      <c r="D227" s="7" t="s">
        <v>779</v>
      </c>
      <c r="E227" s="7" t="s">
        <v>825</v>
      </c>
      <c r="F227" s="4" t="s">
        <v>25</v>
      </c>
      <c r="G227" s="4" t="s">
        <v>4</v>
      </c>
      <c r="H227" s="4" t="s">
        <v>26</v>
      </c>
      <c r="I227" s="4" t="s">
        <v>26</v>
      </c>
      <c r="J227" s="7"/>
    </row>
    <row r="228" ht="14.25" customHeight="1">
      <c r="A228" s="4" t="s">
        <v>826</v>
      </c>
      <c r="B228" s="4" t="s">
        <v>70</v>
      </c>
      <c r="C228" s="7" t="s">
        <v>827</v>
      </c>
      <c r="D228" s="7" t="s">
        <v>779</v>
      </c>
      <c r="E228" s="7" t="s">
        <v>828</v>
      </c>
      <c r="F228" s="4" t="s">
        <v>25</v>
      </c>
      <c r="G228" s="4" t="s">
        <v>4</v>
      </c>
      <c r="H228" s="4" t="s">
        <v>26</v>
      </c>
      <c r="I228" s="4" t="s">
        <v>26</v>
      </c>
      <c r="J228" s="7"/>
    </row>
    <row r="229" ht="14.25" customHeight="1">
      <c r="A229" s="4" t="s">
        <v>829</v>
      </c>
      <c r="B229" s="4" t="s">
        <v>70</v>
      </c>
      <c r="C229" s="7" t="s">
        <v>830</v>
      </c>
      <c r="D229" s="7" t="s">
        <v>779</v>
      </c>
      <c r="E229" s="7" t="s">
        <v>831</v>
      </c>
      <c r="F229" s="4" t="s">
        <v>25</v>
      </c>
      <c r="G229" s="4" t="s">
        <v>4</v>
      </c>
      <c r="H229" s="4" t="s">
        <v>26</v>
      </c>
      <c r="I229" s="4" t="s">
        <v>26</v>
      </c>
      <c r="J229" s="7"/>
    </row>
    <row r="230" ht="14.25" customHeight="1">
      <c r="A230" s="4" t="s">
        <v>832</v>
      </c>
      <c r="B230" s="4" t="s">
        <v>70</v>
      </c>
      <c r="C230" s="7" t="s">
        <v>833</v>
      </c>
      <c r="D230" s="7" t="s">
        <v>779</v>
      </c>
      <c r="E230" s="7" t="s">
        <v>834</v>
      </c>
      <c r="F230" s="4" t="s">
        <v>25</v>
      </c>
      <c r="G230" s="4" t="s">
        <v>4</v>
      </c>
      <c r="H230" s="4" t="s">
        <v>26</v>
      </c>
      <c r="I230" s="4" t="s">
        <v>26</v>
      </c>
      <c r="J230" s="7"/>
    </row>
    <row r="231" ht="14.25" customHeight="1">
      <c r="A231" s="4" t="s">
        <v>835</v>
      </c>
      <c r="B231" s="4" t="s">
        <v>70</v>
      </c>
      <c r="C231" s="7" t="s">
        <v>836</v>
      </c>
      <c r="D231" s="7" t="s">
        <v>779</v>
      </c>
      <c r="E231" s="7" t="s">
        <v>837</v>
      </c>
      <c r="F231" s="4" t="s">
        <v>25</v>
      </c>
      <c r="G231" s="4" t="s">
        <v>4</v>
      </c>
      <c r="H231" s="4" t="s">
        <v>26</v>
      </c>
      <c r="I231" s="4" t="s">
        <v>26</v>
      </c>
      <c r="J231" s="7"/>
    </row>
    <row r="232" ht="14.25" customHeight="1">
      <c r="A232" s="4" t="s">
        <v>838</v>
      </c>
      <c r="B232" s="4" t="s">
        <v>73</v>
      </c>
      <c r="C232" s="7" t="s">
        <v>839</v>
      </c>
      <c r="D232" s="7" t="s">
        <v>840</v>
      </c>
      <c r="E232" s="7" t="s">
        <v>841</v>
      </c>
      <c r="F232" s="4" t="s">
        <v>25</v>
      </c>
      <c r="G232" s="4" t="s">
        <v>4</v>
      </c>
      <c r="H232" s="4" t="s">
        <v>26</v>
      </c>
      <c r="I232" s="4" t="s">
        <v>26</v>
      </c>
      <c r="J232" s="7"/>
    </row>
    <row r="233" ht="14.25" customHeight="1">
      <c r="A233" s="4" t="s">
        <v>842</v>
      </c>
      <c r="B233" s="4" t="s">
        <v>73</v>
      </c>
      <c r="C233" s="7" t="s">
        <v>843</v>
      </c>
      <c r="D233" s="7" t="s">
        <v>844</v>
      </c>
      <c r="E233" s="7" t="s">
        <v>845</v>
      </c>
      <c r="F233" s="4" t="s">
        <v>25</v>
      </c>
      <c r="G233" s="4" t="s">
        <v>4</v>
      </c>
      <c r="H233" s="4" t="s">
        <v>26</v>
      </c>
      <c r="I233" s="4" t="s">
        <v>26</v>
      </c>
      <c r="J233" s="7"/>
    </row>
    <row r="234" ht="14.25" customHeight="1">
      <c r="A234" s="4" t="s">
        <v>846</v>
      </c>
      <c r="B234" s="4" t="s">
        <v>73</v>
      </c>
      <c r="C234" s="7" t="s">
        <v>847</v>
      </c>
      <c r="D234" s="7" t="s">
        <v>848</v>
      </c>
      <c r="E234" s="7" t="s">
        <v>849</v>
      </c>
      <c r="F234" s="4" t="s">
        <v>25</v>
      </c>
      <c r="G234" s="4" t="s">
        <v>4</v>
      </c>
      <c r="H234" s="4" t="s">
        <v>26</v>
      </c>
      <c r="I234" s="4" t="s">
        <v>26</v>
      </c>
      <c r="J234" s="7"/>
    </row>
    <row r="235" ht="14.25" customHeight="1">
      <c r="A235" s="4" t="s">
        <v>850</v>
      </c>
      <c r="B235" s="4" t="s">
        <v>73</v>
      </c>
      <c r="C235" s="7" t="s">
        <v>851</v>
      </c>
      <c r="D235" s="7" t="s">
        <v>840</v>
      </c>
      <c r="E235" s="7" t="s">
        <v>852</v>
      </c>
      <c r="F235" s="4" t="s">
        <v>25</v>
      </c>
      <c r="G235" s="4" t="s">
        <v>4</v>
      </c>
      <c r="H235" s="4" t="s">
        <v>26</v>
      </c>
      <c r="I235" s="4" t="s">
        <v>26</v>
      </c>
      <c r="J235" s="7"/>
    </row>
    <row r="236" ht="14.25" customHeight="1">
      <c r="A236" s="4" t="s">
        <v>853</v>
      </c>
      <c r="B236" s="4" t="s">
        <v>73</v>
      </c>
      <c r="C236" s="7" t="s">
        <v>854</v>
      </c>
      <c r="D236" s="7" t="s">
        <v>855</v>
      </c>
      <c r="E236" s="7" t="s">
        <v>856</v>
      </c>
      <c r="F236" s="4" t="s">
        <v>25</v>
      </c>
      <c r="G236" s="4" t="s">
        <v>4</v>
      </c>
      <c r="H236" s="4" t="s">
        <v>26</v>
      </c>
      <c r="I236" s="4" t="s">
        <v>26</v>
      </c>
      <c r="J236" s="7"/>
    </row>
    <row r="237" ht="14.25" customHeight="1">
      <c r="A237" s="4" t="s">
        <v>857</v>
      </c>
      <c r="B237" s="4" t="s">
        <v>73</v>
      </c>
      <c r="C237" s="7" t="s">
        <v>858</v>
      </c>
      <c r="D237" s="7" t="s">
        <v>844</v>
      </c>
      <c r="E237" s="7" t="s">
        <v>859</v>
      </c>
      <c r="F237" s="4" t="s">
        <v>25</v>
      </c>
      <c r="G237" s="4" t="s">
        <v>4</v>
      </c>
      <c r="H237" s="4" t="s">
        <v>26</v>
      </c>
      <c r="I237" s="4" t="s">
        <v>26</v>
      </c>
      <c r="J237" s="7"/>
    </row>
    <row r="238" ht="14.25" customHeight="1">
      <c r="A238" s="4" t="s">
        <v>860</v>
      </c>
      <c r="B238" s="4" t="s">
        <v>73</v>
      </c>
      <c r="C238" s="7" t="s">
        <v>861</v>
      </c>
      <c r="D238" s="7" t="s">
        <v>855</v>
      </c>
      <c r="E238" s="7" t="s">
        <v>862</v>
      </c>
      <c r="F238" s="4" t="s">
        <v>25</v>
      </c>
      <c r="G238" s="4" t="s">
        <v>4</v>
      </c>
      <c r="H238" s="4" t="s">
        <v>26</v>
      </c>
      <c r="I238" s="4" t="s">
        <v>26</v>
      </c>
      <c r="J238" s="7"/>
    </row>
    <row r="239" ht="14.25" customHeight="1">
      <c r="A239" s="4" t="s">
        <v>863</v>
      </c>
      <c r="B239" s="4" t="s">
        <v>73</v>
      </c>
      <c r="C239" s="7" t="s">
        <v>864</v>
      </c>
      <c r="D239" s="7" t="s">
        <v>844</v>
      </c>
      <c r="E239" s="7" t="s">
        <v>865</v>
      </c>
      <c r="F239" s="4" t="s">
        <v>25</v>
      </c>
      <c r="G239" s="4" t="s">
        <v>4</v>
      </c>
      <c r="H239" s="4" t="s">
        <v>26</v>
      </c>
      <c r="I239" s="4" t="s">
        <v>26</v>
      </c>
      <c r="J239" s="7"/>
    </row>
    <row r="240" ht="14.25" customHeight="1">
      <c r="A240" s="4" t="s">
        <v>866</v>
      </c>
      <c r="B240" s="4" t="s">
        <v>73</v>
      </c>
      <c r="C240" s="7" t="s">
        <v>867</v>
      </c>
      <c r="D240" s="7" t="s">
        <v>844</v>
      </c>
      <c r="E240" s="7" t="s">
        <v>868</v>
      </c>
      <c r="F240" s="4" t="s">
        <v>25</v>
      </c>
      <c r="G240" s="4" t="s">
        <v>4</v>
      </c>
      <c r="H240" s="4" t="s">
        <v>26</v>
      </c>
      <c r="I240" s="4" t="s">
        <v>26</v>
      </c>
      <c r="J240" s="7"/>
    </row>
    <row r="241" ht="14.25" customHeight="1">
      <c r="A241" s="4" t="s">
        <v>869</v>
      </c>
      <c r="B241" s="4" t="s">
        <v>73</v>
      </c>
      <c r="C241" s="7" t="s">
        <v>870</v>
      </c>
      <c r="D241" s="7" t="s">
        <v>871</v>
      </c>
      <c r="E241" s="7" t="s">
        <v>872</v>
      </c>
      <c r="F241" s="4" t="s">
        <v>25</v>
      </c>
      <c r="G241" s="4" t="s">
        <v>4</v>
      </c>
      <c r="H241" s="4" t="s">
        <v>26</v>
      </c>
      <c r="I241" s="4" t="s">
        <v>26</v>
      </c>
      <c r="J241" s="7"/>
    </row>
    <row r="242" ht="14.25" customHeight="1">
      <c r="A242" s="4" t="s">
        <v>873</v>
      </c>
      <c r="B242" s="4" t="s">
        <v>73</v>
      </c>
      <c r="C242" s="7" t="s">
        <v>874</v>
      </c>
      <c r="D242" s="7" t="s">
        <v>844</v>
      </c>
      <c r="E242" s="7" t="s">
        <v>875</v>
      </c>
      <c r="F242" s="4" t="s">
        <v>25</v>
      </c>
      <c r="G242" s="4" t="s">
        <v>4</v>
      </c>
      <c r="H242" s="4" t="s">
        <v>26</v>
      </c>
      <c r="I242" s="4" t="s">
        <v>26</v>
      </c>
      <c r="J242" s="7"/>
    </row>
    <row r="243" ht="14.25" customHeight="1">
      <c r="A243" s="4" t="s">
        <v>876</v>
      </c>
      <c r="B243" s="4" t="s">
        <v>73</v>
      </c>
      <c r="C243" s="7" t="s">
        <v>877</v>
      </c>
      <c r="D243" s="7" t="s">
        <v>844</v>
      </c>
      <c r="E243" s="7" t="s">
        <v>878</v>
      </c>
      <c r="F243" s="4" t="s">
        <v>25</v>
      </c>
      <c r="G243" s="4" t="s">
        <v>4</v>
      </c>
      <c r="H243" s="4" t="s">
        <v>26</v>
      </c>
      <c r="I243" s="4" t="s">
        <v>26</v>
      </c>
      <c r="J243" s="7"/>
    </row>
    <row r="244" ht="14.25" customHeight="1">
      <c r="A244" s="4" t="s">
        <v>879</v>
      </c>
      <c r="B244" s="4" t="s">
        <v>73</v>
      </c>
      <c r="C244" s="7" t="s">
        <v>880</v>
      </c>
      <c r="D244" s="7" t="s">
        <v>840</v>
      </c>
      <c r="E244" s="7" t="s">
        <v>881</v>
      </c>
      <c r="F244" s="4" t="s">
        <v>25</v>
      </c>
      <c r="G244" s="4" t="s">
        <v>4</v>
      </c>
      <c r="H244" s="4" t="s">
        <v>26</v>
      </c>
      <c r="I244" s="4" t="s">
        <v>26</v>
      </c>
      <c r="J244" s="7"/>
    </row>
    <row r="245" ht="14.25" customHeight="1">
      <c r="A245" s="4" t="s">
        <v>882</v>
      </c>
      <c r="B245" s="4" t="s">
        <v>73</v>
      </c>
      <c r="C245" s="7" t="s">
        <v>883</v>
      </c>
      <c r="D245" s="7" t="s">
        <v>884</v>
      </c>
      <c r="E245" s="7" t="s">
        <v>885</v>
      </c>
      <c r="F245" s="4" t="s">
        <v>25</v>
      </c>
      <c r="G245" s="4" t="s">
        <v>4</v>
      </c>
      <c r="H245" s="4" t="s">
        <v>26</v>
      </c>
      <c r="I245" s="4" t="s">
        <v>26</v>
      </c>
      <c r="J245" s="7"/>
    </row>
    <row r="246" ht="14.25" customHeight="1">
      <c r="A246" s="4" t="s">
        <v>886</v>
      </c>
      <c r="B246" s="4" t="s">
        <v>73</v>
      </c>
      <c r="C246" s="7" t="s">
        <v>887</v>
      </c>
      <c r="D246" s="7" t="s">
        <v>888</v>
      </c>
      <c r="E246" s="7" t="s">
        <v>889</v>
      </c>
      <c r="F246" s="4" t="s">
        <v>25</v>
      </c>
      <c r="G246" s="4" t="s">
        <v>4</v>
      </c>
      <c r="H246" s="4" t="s">
        <v>26</v>
      </c>
      <c r="I246" s="4" t="s">
        <v>26</v>
      </c>
      <c r="J246" s="7"/>
    </row>
    <row r="247" ht="14.25" customHeight="1">
      <c r="A247" s="4" t="s">
        <v>890</v>
      </c>
      <c r="B247" s="4" t="s">
        <v>73</v>
      </c>
      <c r="C247" s="7" t="s">
        <v>891</v>
      </c>
      <c r="D247" s="7" t="s">
        <v>844</v>
      </c>
      <c r="E247" s="7" t="s">
        <v>892</v>
      </c>
      <c r="F247" s="4" t="s">
        <v>25</v>
      </c>
      <c r="G247" s="4" t="s">
        <v>4</v>
      </c>
      <c r="H247" s="4" t="s">
        <v>26</v>
      </c>
      <c r="I247" s="4" t="s">
        <v>26</v>
      </c>
      <c r="J247" s="7"/>
    </row>
    <row r="248" ht="14.25" customHeight="1">
      <c r="A248" s="4" t="s">
        <v>893</v>
      </c>
      <c r="B248" s="4" t="s">
        <v>73</v>
      </c>
      <c r="C248" s="7" t="s">
        <v>894</v>
      </c>
      <c r="D248" s="7" t="s">
        <v>844</v>
      </c>
      <c r="E248" s="7" t="s">
        <v>895</v>
      </c>
      <c r="F248" s="4" t="s">
        <v>25</v>
      </c>
      <c r="G248" s="4" t="s">
        <v>4</v>
      </c>
      <c r="H248" s="4" t="s">
        <v>26</v>
      </c>
      <c r="I248" s="4" t="s">
        <v>26</v>
      </c>
      <c r="J248" s="7"/>
    </row>
    <row r="249" ht="14.25" customHeight="1">
      <c r="A249" s="4" t="s">
        <v>896</v>
      </c>
      <c r="B249" s="4" t="s">
        <v>73</v>
      </c>
      <c r="C249" s="7" t="s">
        <v>897</v>
      </c>
      <c r="D249" s="7" t="s">
        <v>884</v>
      </c>
      <c r="E249" s="7" t="s">
        <v>898</v>
      </c>
      <c r="F249" s="4" t="s">
        <v>25</v>
      </c>
      <c r="G249" s="4" t="s">
        <v>4</v>
      </c>
      <c r="H249" s="4" t="s">
        <v>26</v>
      </c>
      <c r="I249" s="4" t="s">
        <v>26</v>
      </c>
      <c r="J249" s="7"/>
    </row>
    <row r="250" ht="14.25" customHeight="1">
      <c r="A250" s="4" t="s">
        <v>899</v>
      </c>
      <c r="B250" s="4" t="s">
        <v>73</v>
      </c>
      <c r="C250" s="7" t="s">
        <v>900</v>
      </c>
      <c r="D250" s="7" t="s">
        <v>901</v>
      </c>
      <c r="E250" s="7" t="s">
        <v>902</v>
      </c>
      <c r="F250" s="4" t="s">
        <v>25</v>
      </c>
      <c r="G250" s="4" t="s">
        <v>4</v>
      </c>
      <c r="H250" s="4" t="s">
        <v>26</v>
      </c>
      <c r="I250" s="4" t="s">
        <v>26</v>
      </c>
      <c r="J250" s="7"/>
    </row>
    <row r="251" ht="14.25" customHeight="1">
      <c r="A251" s="4" t="s">
        <v>903</v>
      </c>
      <c r="B251" s="4" t="s">
        <v>73</v>
      </c>
      <c r="C251" s="7" t="s">
        <v>904</v>
      </c>
      <c r="D251" s="7" t="s">
        <v>855</v>
      </c>
      <c r="E251" s="7" t="s">
        <v>905</v>
      </c>
      <c r="F251" s="4" t="s">
        <v>25</v>
      </c>
      <c r="G251" s="4" t="s">
        <v>4</v>
      </c>
      <c r="H251" s="4" t="s">
        <v>26</v>
      </c>
      <c r="I251" s="4" t="s">
        <v>26</v>
      </c>
      <c r="J251" s="7"/>
    </row>
    <row r="252" ht="14.25" customHeight="1">
      <c r="A252" s="4" t="s">
        <v>906</v>
      </c>
      <c r="B252" s="4" t="s">
        <v>73</v>
      </c>
      <c r="C252" s="7" t="s">
        <v>907</v>
      </c>
      <c r="D252" s="7" t="s">
        <v>855</v>
      </c>
      <c r="E252" s="7" t="s">
        <v>908</v>
      </c>
      <c r="F252" s="4" t="s">
        <v>25</v>
      </c>
      <c r="G252" s="4" t="s">
        <v>4</v>
      </c>
      <c r="H252" s="4" t="s">
        <v>26</v>
      </c>
      <c r="I252" s="4" t="s">
        <v>26</v>
      </c>
      <c r="J252" s="7"/>
    </row>
    <row r="253" ht="14.25" customHeight="1">
      <c r="A253" s="4" t="s">
        <v>909</v>
      </c>
      <c r="B253" s="4" t="s">
        <v>73</v>
      </c>
      <c r="C253" s="7" t="s">
        <v>910</v>
      </c>
      <c r="D253" s="7" t="s">
        <v>911</v>
      </c>
      <c r="E253" s="7" t="s">
        <v>912</v>
      </c>
      <c r="F253" s="4" t="s">
        <v>25</v>
      </c>
      <c r="G253" s="4" t="s">
        <v>4</v>
      </c>
      <c r="H253" s="4" t="s">
        <v>26</v>
      </c>
      <c r="I253" s="4" t="s">
        <v>26</v>
      </c>
      <c r="J253" s="7"/>
    </row>
    <row r="254" ht="14.25" customHeight="1">
      <c r="A254" s="4" t="s">
        <v>913</v>
      </c>
      <c r="B254" s="4" t="s">
        <v>73</v>
      </c>
      <c r="C254" s="7" t="s">
        <v>914</v>
      </c>
      <c r="D254" s="7" t="s">
        <v>844</v>
      </c>
      <c r="E254" s="7" t="s">
        <v>915</v>
      </c>
      <c r="F254" s="4" t="s">
        <v>25</v>
      </c>
      <c r="G254" s="4" t="s">
        <v>4</v>
      </c>
      <c r="H254" s="4" t="s">
        <v>26</v>
      </c>
      <c r="I254" s="4" t="s">
        <v>26</v>
      </c>
      <c r="J254" s="7"/>
    </row>
    <row r="255" ht="14.25" customHeight="1">
      <c r="A255" s="4" t="s">
        <v>916</v>
      </c>
      <c r="B255" s="4" t="s">
        <v>73</v>
      </c>
      <c r="C255" s="7" t="s">
        <v>917</v>
      </c>
      <c r="D255" s="7" t="s">
        <v>840</v>
      </c>
      <c r="E255" s="7" t="s">
        <v>918</v>
      </c>
      <c r="F255" s="4" t="s">
        <v>25</v>
      </c>
      <c r="G255" s="4" t="s">
        <v>4</v>
      </c>
      <c r="H255" s="4" t="s">
        <v>26</v>
      </c>
      <c r="I255" s="4" t="s">
        <v>26</v>
      </c>
      <c r="J255" s="7"/>
    </row>
    <row r="256" ht="14.25" customHeight="1">
      <c r="A256" s="4" t="s">
        <v>919</v>
      </c>
      <c r="B256" s="4" t="s">
        <v>73</v>
      </c>
      <c r="C256" s="7" t="s">
        <v>920</v>
      </c>
      <c r="D256" s="7" t="s">
        <v>844</v>
      </c>
      <c r="E256" s="7" t="s">
        <v>921</v>
      </c>
      <c r="F256" s="4" t="s">
        <v>25</v>
      </c>
      <c r="G256" s="4" t="s">
        <v>4</v>
      </c>
      <c r="H256" s="4" t="s">
        <v>26</v>
      </c>
      <c r="I256" s="4" t="s">
        <v>26</v>
      </c>
      <c r="J256" s="7"/>
    </row>
    <row r="257" ht="14.25" customHeight="1">
      <c r="A257" s="4" t="s">
        <v>922</v>
      </c>
      <c r="B257" s="4" t="s">
        <v>73</v>
      </c>
      <c r="C257" s="7" t="s">
        <v>923</v>
      </c>
      <c r="D257" s="7" t="s">
        <v>855</v>
      </c>
      <c r="E257" s="7" t="s">
        <v>924</v>
      </c>
      <c r="F257" s="4" t="s">
        <v>25</v>
      </c>
      <c r="G257" s="4" t="s">
        <v>4</v>
      </c>
      <c r="H257" s="4" t="s">
        <v>26</v>
      </c>
      <c r="I257" s="4" t="s">
        <v>26</v>
      </c>
      <c r="J257" s="7"/>
    </row>
    <row r="258" ht="14.25" customHeight="1">
      <c r="A258" s="4" t="s">
        <v>925</v>
      </c>
      <c r="B258" s="4" t="s">
        <v>73</v>
      </c>
      <c r="C258" s="7" t="s">
        <v>926</v>
      </c>
      <c r="D258" s="7" t="s">
        <v>844</v>
      </c>
      <c r="E258" s="7" t="s">
        <v>927</v>
      </c>
      <c r="F258" s="4" t="s">
        <v>25</v>
      </c>
      <c r="G258" s="4" t="s">
        <v>4</v>
      </c>
      <c r="H258" s="4" t="s">
        <v>26</v>
      </c>
      <c r="I258" s="4" t="s">
        <v>26</v>
      </c>
      <c r="J258" s="7"/>
    </row>
    <row r="259" ht="14.25" customHeight="1">
      <c r="A259" s="4" t="s">
        <v>928</v>
      </c>
      <c r="B259" s="4" t="s">
        <v>73</v>
      </c>
      <c r="C259" s="7" t="s">
        <v>929</v>
      </c>
      <c r="D259" s="7" t="s">
        <v>840</v>
      </c>
      <c r="E259" s="7" t="s">
        <v>930</v>
      </c>
      <c r="F259" s="4" t="s">
        <v>25</v>
      </c>
      <c r="G259" s="4" t="s">
        <v>4</v>
      </c>
      <c r="H259" s="4" t="s">
        <v>26</v>
      </c>
      <c r="I259" s="4" t="s">
        <v>26</v>
      </c>
      <c r="J259" s="7"/>
    </row>
    <row r="260" ht="14.25" customHeight="1">
      <c r="A260" s="4" t="s">
        <v>931</v>
      </c>
      <c r="B260" s="4" t="s">
        <v>73</v>
      </c>
      <c r="C260" s="7" t="s">
        <v>932</v>
      </c>
      <c r="D260" s="7" t="s">
        <v>844</v>
      </c>
      <c r="E260" s="7" t="s">
        <v>933</v>
      </c>
      <c r="F260" s="4" t="s">
        <v>25</v>
      </c>
      <c r="G260" s="4" t="s">
        <v>4</v>
      </c>
      <c r="H260" s="4" t="s">
        <v>26</v>
      </c>
      <c r="I260" s="4" t="s">
        <v>26</v>
      </c>
      <c r="J260" s="7"/>
    </row>
    <row r="261" ht="14.25" customHeight="1">
      <c r="A261" s="4" t="s">
        <v>934</v>
      </c>
      <c r="B261" s="4" t="s">
        <v>73</v>
      </c>
      <c r="C261" s="7" t="s">
        <v>935</v>
      </c>
      <c r="D261" s="7" t="s">
        <v>888</v>
      </c>
      <c r="E261" s="7" t="s">
        <v>936</v>
      </c>
      <c r="F261" s="4" t="s">
        <v>25</v>
      </c>
      <c r="G261" s="4" t="s">
        <v>4</v>
      </c>
      <c r="H261" s="4" t="s">
        <v>26</v>
      </c>
      <c r="I261" s="4" t="s">
        <v>26</v>
      </c>
      <c r="J261" s="7"/>
    </row>
    <row r="262" ht="14.25" customHeight="1">
      <c r="A262" s="4" t="s">
        <v>937</v>
      </c>
      <c r="B262" s="4" t="s">
        <v>78</v>
      </c>
      <c r="C262" s="7" t="s">
        <v>938</v>
      </c>
      <c r="D262" s="7" t="s">
        <v>939</v>
      </c>
      <c r="E262" s="7" t="s">
        <v>940</v>
      </c>
      <c r="F262" s="4" t="s">
        <v>25</v>
      </c>
      <c r="G262" s="4" t="s">
        <v>4</v>
      </c>
      <c r="H262" s="4" t="s">
        <v>26</v>
      </c>
      <c r="I262" s="4" t="s">
        <v>26</v>
      </c>
      <c r="J262" s="7"/>
    </row>
    <row r="263" ht="14.25" customHeight="1">
      <c r="A263" s="4" t="s">
        <v>941</v>
      </c>
      <c r="B263" s="4" t="s">
        <v>78</v>
      </c>
      <c r="C263" s="7" t="s">
        <v>942</v>
      </c>
      <c r="D263" s="7" t="s">
        <v>943</v>
      </c>
      <c r="E263" s="7" t="s">
        <v>944</v>
      </c>
      <c r="F263" s="4" t="s">
        <v>25</v>
      </c>
      <c r="G263" s="4" t="s">
        <v>4</v>
      </c>
      <c r="H263" s="4" t="s">
        <v>26</v>
      </c>
      <c r="I263" s="4" t="s">
        <v>26</v>
      </c>
      <c r="J263" s="7"/>
    </row>
    <row r="264" ht="14.25" customHeight="1">
      <c r="A264" s="4" t="s">
        <v>945</v>
      </c>
      <c r="B264" s="4" t="s">
        <v>78</v>
      </c>
      <c r="C264" s="7" t="s">
        <v>946</v>
      </c>
      <c r="D264" s="7" t="s">
        <v>947</v>
      </c>
      <c r="E264" s="7" t="s">
        <v>948</v>
      </c>
      <c r="F264" s="4" t="s">
        <v>25</v>
      </c>
      <c r="G264" s="4" t="s">
        <v>4</v>
      </c>
      <c r="H264" s="4" t="s">
        <v>26</v>
      </c>
      <c r="I264" s="4" t="s">
        <v>26</v>
      </c>
      <c r="J264" s="7"/>
    </row>
    <row r="265" ht="14.25" customHeight="1">
      <c r="A265" s="4" t="s">
        <v>949</v>
      </c>
      <c r="B265" s="4" t="s">
        <v>78</v>
      </c>
      <c r="C265" s="7" t="s">
        <v>950</v>
      </c>
      <c r="D265" s="7" t="s">
        <v>951</v>
      </c>
      <c r="E265" s="7" t="s">
        <v>952</v>
      </c>
      <c r="F265" s="4" t="s">
        <v>25</v>
      </c>
      <c r="G265" s="4" t="s">
        <v>4</v>
      </c>
      <c r="H265" s="4" t="s">
        <v>26</v>
      </c>
      <c r="I265" s="4" t="s">
        <v>26</v>
      </c>
      <c r="J265" s="7"/>
    </row>
    <row r="266" ht="14.25" customHeight="1">
      <c r="A266" s="4" t="s">
        <v>953</v>
      </c>
      <c r="B266" s="4" t="s">
        <v>78</v>
      </c>
      <c r="C266" s="7" t="s">
        <v>954</v>
      </c>
      <c r="D266" s="7" t="s">
        <v>955</v>
      </c>
      <c r="E266" s="7" t="s">
        <v>956</v>
      </c>
      <c r="F266" s="4" t="s">
        <v>25</v>
      </c>
      <c r="G266" s="4" t="s">
        <v>4</v>
      </c>
      <c r="H266" s="4" t="s">
        <v>26</v>
      </c>
      <c r="I266" s="4" t="s">
        <v>26</v>
      </c>
      <c r="J266" s="7"/>
    </row>
    <row r="267" ht="14.25" customHeight="1">
      <c r="A267" s="4" t="s">
        <v>957</v>
      </c>
      <c r="B267" s="4" t="s">
        <v>78</v>
      </c>
      <c r="C267" s="7" t="s">
        <v>958</v>
      </c>
      <c r="D267" s="7" t="s">
        <v>959</v>
      </c>
      <c r="E267" s="7" t="s">
        <v>960</v>
      </c>
      <c r="F267" s="4" t="s">
        <v>25</v>
      </c>
      <c r="G267" s="4" t="s">
        <v>4</v>
      </c>
      <c r="H267" s="4" t="s">
        <v>26</v>
      </c>
      <c r="I267" s="4" t="s">
        <v>26</v>
      </c>
      <c r="J267" s="7"/>
    </row>
    <row r="268" ht="14.25" customHeight="1">
      <c r="A268" s="4" t="s">
        <v>961</v>
      </c>
      <c r="B268" s="4" t="s">
        <v>78</v>
      </c>
      <c r="C268" s="7" t="s">
        <v>962</v>
      </c>
      <c r="D268" s="7" t="s">
        <v>963</v>
      </c>
      <c r="E268" s="7" t="s">
        <v>964</v>
      </c>
      <c r="F268" s="4" t="s">
        <v>25</v>
      </c>
      <c r="G268" s="4" t="s">
        <v>4</v>
      </c>
      <c r="H268" s="4" t="s">
        <v>26</v>
      </c>
      <c r="I268" s="4" t="s">
        <v>26</v>
      </c>
      <c r="J268" s="7"/>
    </row>
    <row r="269" ht="14.25" customHeight="1">
      <c r="A269" s="4" t="s">
        <v>965</v>
      </c>
      <c r="B269" s="4" t="s">
        <v>78</v>
      </c>
      <c r="C269" s="7" t="s">
        <v>966</v>
      </c>
      <c r="D269" s="7" t="s">
        <v>967</v>
      </c>
      <c r="E269" s="7" t="s">
        <v>968</v>
      </c>
      <c r="F269" s="4" t="s">
        <v>25</v>
      </c>
      <c r="G269" s="4" t="s">
        <v>4</v>
      </c>
      <c r="H269" s="4" t="s">
        <v>26</v>
      </c>
      <c r="I269" s="4" t="s">
        <v>26</v>
      </c>
      <c r="J269" s="7"/>
    </row>
    <row r="270" ht="14.25" customHeight="1">
      <c r="A270" s="4" t="s">
        <v>969</v>
      </c>
      <c r="B270" s="4" t="s">
        <v>78</v>
      </c>
      <c r="C270" s="7" t="s">
        <v>970</v>
      </c>
      <c r="D270" s="7" t="s">
        <v>971</v>
      </c>
      <c r="E270" s="7" t="s">
        <v>972</v>
      </c>
      <c r="F270" s="4" t="s">
        <v>25</v>
      </c>
      <c r="G270" s="4" t="s">
        <v>4</v>
      </c>
      <c r="H270" s="4" t="s">
        <v>26</v>
      </c>
      <c r="I270" s="4" t="s">
        <v>26</v>
      </c>
      <c r="J270" s="7"/>
    </row>
    <row r="271" ht="14.25" customHeight="1">
      <c r="A271" s="4" t="s">
        <v>973</v>
      </c>
      <c r="B271" s="4" t="s">
        <v>78</v>
      </c>
      <c r="C271" s="7" t="s">
        <v>974</v>
      </c>
      <c r="D271" s="7" t="s">
        <v>975</v>
      </c>
      <c r="E271" s="7" t="s">
        <v>976</v>
      </c>
      <c r="F271" s="4" t="s">
        <v>25</v>
      </c>
      <c r="G271" s="4" t="s">
        <v>4</v>
      </c>
      <c r="H271" s="4" t="s">
        <v>26</v>
      </c>
      <c r="I271" s="4" t="s">
        <v>26</v>
      </c>
      <c r="J271" s="7"/>
    </row>
    <row r="272" ht="14.25" customHeight="1">
      <c r="A272" s="4" t="s">
        <v>977</v>
      </c>
      <c r="B272" s="4" t="s">
        <v>78</v>
      </c>
      <c r="C272" s="7" t="s">
        <v>978</v>
      </c>
      <c r="D272" s="7" t="s">
        <v>979</v>
      </c>
      <c r="E272" s="7" t="s">
        <v>980</v>
      </c>
      <c r="F272" s="4" t="s">
        <v>25</v>
      </c>
      <c r="G272" s="4" t="s">
        <v>4</v>
      </c>
      <c r="H272" s="4" t="s">
        <v>26</v>
      </c>
      <c r="I272" s="4" t="s">
        <v>26</v>
      </c>
      <c r="J272" s="7"/>
    </row>
    <row r="273" ht="14.25" customHeight="1">
      <c r="A273" s="4" t="s">
        <v>981</v>
      </c>
      <c r="B273" s="4" t="s">
        <v>78</v>
      </c>
      <c r="C273" s="7" t="s">
        <v>982</v>
      </c>
      <c r="D273" s="7" t="s">
        <v>983</v>
      </c>
      <c r="E273" s="7" t="s">
        <v>984</v>
      </c>
      <c r="F273" s="4" t="s">
        <v>25</v>
      </c>
      <c r="G273" s="4" t="s">
        <v>4</v>
      </c>
      <c r="H273" s="4" t="s">
        <v>26</v>
      </c>
      <c r="I273" s="4" t="s">
        <v>26</v>
      </c>
      <c r="J273" s="7"/>
    </row>
    <row r="274" ht="14.25" customHeight="1">
      <c r="A274" s="4" t="s">
        <v>985</v>
      </c>
      <c r="B274" s="4" t="s">
        <v>78</v>
      </c>
      <c r="C274" s="7" t="s">
        <v>986</v>
      </c>
      <c r="D274" s="7" t="s">
        <v>987</v>
      </c>
      <c r="E274" s="7" t="s">
        <v>988</v>
      </c>
      <c r="F274" s="4" t="s">
        <v>25</v>
      </c>
      <c r="G274" s="4" t="s">
        <v>4</v>
      </c>
      <c r="H274" s="4" t="s">
        <v>26</v>
      </c>
      <c r="I274" s="4" t="s">
        <v>26</v>
      </c>
      <c r="J274" s="7"/>
    </row>
    <row r="275" ht="14.25" customHeight="1">
      <c r="A275" s="4" t="s">
        <v>989</v>
      </c>
      <c r="B275" s="4" t="s">
        <v>78</v>
      </c>
      <c r="C275" s="7" t="s">
        <v>990</v>
      </c>
      <c r="D275" s="7" t="s">
        <v>991</v>
      </c>
      <c r="E275" s="7" t="s">
        <v>992</v>
      </c>
      <c r="F275" s="4" t="s">
        <v>25</v>
      </c>
      <c r="G275" s="4" t="s">
        <v>4</v>
      </c>
      <c r="H275" s="4" t="s">
        <v>26</v>
      </c>
      <c r="I275" s="4" t="s">
        <v>26</v>
      </c>
      <c r="J275" s="7"/>
    </row>
    <row r="276" ht="14.25" customHeight="1">
      <c r="A276" s="4" t="s">
        <v>993</v>
      </c>
      <c r="B276" s="4" t="s">
        <v>78</v>
      </c>
      <c r="C276" s="7" t="s">
        <v>994</v>
      </c>
      <c r="D276" s="7" t="s">
        <v>995</v>
      </c>
      <c r="E276" s="7" t="s">
        <v>996</v>
      </c>
      <c r="F276" s="4" t="s">
        <v>25</v>
      </c>
      <c r="G276" s="4" t="s">
        <v>4</v>
      </c>
      <c r="H276" s="4" t="s">
        <v>26</v>
      </c>
      <c r="I276" s="4" t="s">
        <v>26</v>
      </c>
      <c r="J276" s="7"/>
    </row>
    <row r="277" ht="14.25" customHeight="1">
      <c r="A277" s="4" t="s">
        <v>997</v>
      </c>
      <c r="B277" s="4" t="s">
        <v>78</v>
      </c>
      <c r="C277" s="7" t="s">
        <v>998</v>
      </c>
      <c r="D277" s="7" t="s">
        <v>999</v>
      </c>
      <c r="E277" s="7" t="s">
        <v>1000</v>
      </c>
      <c r="F277" s="4" t="s">
        <v>25</v>
      </c>
      <c r="G277" s="4" t="s">
        <v>4</v>
      </c>
      <c r="H277" s="4" t="s">
        <v>26</v>
      </c>
      <c r="I277" s="4" t="s">
        <v>26</v>
      </c>
      <c r="J277" s="7"/>
    </row>
    <row r="278" ht="14.25" customHeight="1">
      <c r="A278" s="4" t="s">
        <v>1001</v>
      </c>
      <c r="B278" s="4" t="s">
        <v>78</v>
      </c>
      <c r="C278" s="7" t="s">
        <v>1002</v>
      </c>
      <c r="D278" s="7" t="s">
        <v>1003</v>
      </c>
      <c r="E278" s="7" t="s">
        <v>1004</v>
      </c>
      <c r="F278" s="4" t="s">
        <v>25</v>
      </c>
      <c r="G278" s="4" t="s">
        <v>4</v>
      </c>
      <c r="H278" s="4" t="s">
        <v>26</v>
      </c>
      <c r="I278" s="4" t="s">
        <v>26</v>
      </c>
      <c r="J278" s="7"/>
    </row>
    <row r="279" ht="14.25" customHeight="1">
      <c r="A279" s="4" t="s">
        <v>1005</v>
      </c>
      <c r="B279" s="4" t="s">
        <v>78</v>
      </c>
      <c r="C279" s="7" t="s">
        <v>1006</v>
      </c>
      <c r="D279" s="7" t="s">
        <v>1007</v>
      </c>
      <c r="E279" s="7" t="s">
        <v>1008</v>
      </c>
      <c r="F279" s="4" t="s">
        <v>25</v>
      </c>
      <c r="G279" s="4" t="s">
        <v>4</v>
      </c>
      <c r="H279" s="4" t="s">
        <v>26</v>
      </c>
      <c r="I279" s="4" t="s">
        <v>26</v>
      </c>
      <c r="J279" s="7"/>
    </row>
    <row r="280" ht="14.25" customHeight="1">
      <c r="A280" s="4" t="s">
        <v>1009</v>
      </c>
      <c r="B280" s="4" t="s">
        <v>78</v>
      </c>
      <c r="C280" s="7" t="s">
        <v>1010</v>
      </c>
      <c r="D280" s="7" t="s">
        <v>1011</v>
      </c>
      <c r="E280" s="7" t="s">
        <v>1012</v>
      </c>
      <c r="F280" s="4" t="s">
        <v>25</v>
      </c>
      <c r="G280" s="4" t="s">
        <v>4</v>
      </c>
      <c r="H280" s="4" t="s">
        <v>26</v>
      </c>
      <c r="I280" s="4" t="s">
        <v>26</v>
      </c>
      <c r="J280" s="7"/>
    </row>
    <row r="281" ht="14.25" customHeight="1">
      <c r="A281" s="4" t="s">
        <v>1013</v>
      </c>
      <c r="B281" s="4" t="s">
        <v>78</v>
      </c>
      <c r="C281" s="7" t="s">
        <v>1014</v>
      </c>
      <c r="D281" s="7" t="s">
        <v>1015</v>
      </c>
      <c r="E281" s="7" t="s">
        <v>1016</v>
      </c>
      <c r="F281" s="4" t="s">
        <v>25</v>
      </c>
      <c r="G281" s="4" t="s">
        <v>4</v>
      </c>
      <c r="H281" s="4" t="s">
        <v>26</v>
      </c>
      <c r="I281" s="4" t="s">
        <v>26</v>
      </c>
      <c r="J281" s="7"/>
    </row>
    <row r="282" ht="14.25" customHeight="1">
      <c r="A282" s="4" t="s">
        <v>1017</v>
      </c>
      <c r="B282" s="4" t="s">
        <v>78</v>
      </c>
      <c r="C282" s="7" t="s">
        <v>1018</v>
      </c>
      <c r="D282" s="7" t="s">
        <v>1019</v>
      </c>
      <c r="E282" s="7" t="s">
        <v>1020</v>
      </c>
      <c r="F282" s="4" t="s">
        <v>25</v>
      </c>
      <c r="G282" s="4" t="s">
        <v>4</v>
      </c>
      <c r="H282" s="4" t="s">
        <v>26</v>
      </c>
      <c r="I282" s="4" t="s">
        <v>26</v>
      </c>
      <c r="J282" s="7"/>
    </row>
    <row r="283" ht="14.25" customHeight="1">
      <c r="A283" s="4" t="s">
        <v>1021</v>
      </c>
      <c r="B283" s="4" t="s">
        <v>78</v>
      </c>
      <c r="C283" s="7" t="s">
        <v>1022</v>
      </c>
      <c r="D283" s="7" t="s">
        <v>1023</v>
      </c>
      <c r="E283" s="7" t="s">
        <v>1024</v>
      </c>
      <c r="F283" s="4" t="s">
        <v>25</v>
      </c>
      <c r="G283" s="4" t="s">
        <v>4</v>
      </c>
      <c r="H283" s="4" t="s">
        <v>26</v>
      </c>
      <c r="I283" s="4" t="s">
        <v>26</v>
      </c>
      <c r="J283" s="7"/>
    </row>
    <row r="284" ht="14.25" customHeight="1">
      <c r="A284" s="4" t="s">
        <v>1025</v>
      </c>
      <c r="B284" s="4" t="s">
        <v>78</v>
      </c>
      <c r="C284" s="7" t="s">
        <v>1026</v>
      </c>
      <c r="D284" s="7" t="s">
        <v>1027</v>
      </c>
      <c r="E284" s="7" t="s">
        <v>1028</v>
      </c>
      <c r="F284" s="4" t="s">
        <v>25</v>
      </c>
      <c r="G284" s="4" t="s">
        <v>4</v>
      </c>
      <c r="H284" s="4" t="s">
        <v>26</v>
      </c>
      <c r="I284" s="4" t="s">
        <v>26</v>
      </c>
      <c r="J284" s="7"/>
    </row>
    <row r="285" ht="14.25" customHeight="1">
      <c r="A285" s="4" t="s">
        <v>1029</v>
      </c>
      <c r="B285" s="4" t="s">
        <v>78</v>
      </c>
      <c r="C285" s="7" t="s">
        <v>1030</v>
      </c>
      <c r="D285" s="7" t="s">
        <v>1031</v>
      </c>
      <c r="E285" s="7" t="s">
        <v>1032</v>
      </c>
      <c r="F285" s="4" t="s">
        <v>25</v>
      </c>
      <c r="G285" s="4" t="s">
        <v>4</v>
      </c>
      <c r="H285" s="4" t="s">
        <v>26</v>
      </c>
      <c r="I285" s="4" t="s">
        <v>26</v>
      </c>
      <c r="J285" s="7"/>
    </row>
    <row r="286" ht="14.25" customHeight="1">
      <c r="A286" s="4" t="s">
        <v>1033</v>
      </c>
      <c r="B286" s="4" t="s">
        <v>78</v>
      </c>
      <c r="C286" s="7" t="s">
        <v>1034</v>
      </c>
      <c r="D286" s="7" t="s">
        <v>1035</v>
      </c>
      <c r="E286" s="7" t="s">
        <v>1036</v>
      </c>
      <c r="F286" s="4" t="s">
        <v>25</v>
      </c>
      <c r="G286" s="4" t="s">
        <v>4</v>
      </c>
      <c r="H286" s="4" t="s">
        <v>26</v>
      </c>
      <c r="I286" s="4" t="s">
        <v>26</v>
      </c>
      <c r="J286" s="7"/>
    </row>
    <row r="287" ht="14.25" customHeight="1">
      <c r="A287" s="4" t="s">
        <v>1037</v>
      </c>
      <c r="B287" s="4" t="s">
        <v>78</v>
      </c>
      <c r="C287" s="7" t="s">
        <v>1038</v>
      </c>
      <c r="D287" s="7" t="s">
        <v>1039</v>
      </c>
      <c r="E287" s="7" t="s">
        <v>1040</v>
      </c>
      <c r="F287" s="4" t="s">
        <v>25</v>
      </c>
      <c r="G287" s="4" t="s">
        <v>4</v>
      </c>
      <c r="H287" s="4" t="s">
        <v>26</v>
      </c>
      <c r="I287" s="4" t="s">
        <v>26</v>
      </c>
      <c r="J287" s="7"/>
    </row>
    <row r="288" ht="14.25" customHeight="1">
      <c r="A288" s="4" t="s">
        <v>1041</v>
      </c>
      <c r="B288" s="4" t="s">
        <v>78</v>
      </c>
      <c r="C288" s="7" t="s">
        <v>1042</v>
      </c>
      <c r="D288" s="7" t="s">
        <v>1043</v>
      </c>
      <c r="E288" s="7" t="s">
        <v>1044</v>
      </c>
      <c r="F288" s="4" t="s">
        <v>25</v>
      </c>
      <c r="G288" s="4" t="s">
        <v>4</v>
      </c>
      <c r="H288" s="4" t="s">
        <v>26</v>
      </c>
      <c r="I288" s="4" t="s">
        <v>26</v>
      </c>
      <c r="J288" s="7"/>
    </row>
    <row r="289" ht="14.25" customHeight="1">
      <c r="A289" s="4" t="s">
        <v>1045</v>
      </c>
      <c r="B289" s="4" t="s">
        <v>78</v>
      </c>
      <c r="C289" s="7" t="s">
        <v>1046</v>
      </c>
      <c r="D289" s="7" t="s">
        <v>1047</v>
      </c>
      <c r="E289" s="7" t="s">
        <v>1048</v>
      </c>
      <c r="F289" s="4" t="s">
        <v>25</v>
      </c>
      <c r="G289" s="4" t="s">
        <v>4</v>
      </c>
      <c r="H289" s="4" t="s">
        <v>26</v>
      </c>
      <c r="I289" s="4" t="s">
        <v>26</v>
      </c>
      <c r="J289" s="7"/>
    </row>
    <row r="290" ht="14.25" customHeight="1">
      <c r="A290" s="4" t="s">
        <v>1049</v>
      </c>
      <c r="B290" s="4" t="s">
        <v>78</v>
      </c>
      <c r="C290" s="7" t="s">
        <v>1050</v>
      </c>
      <c r="D290" s="7" t="s">
        <v>1051</v>
      </c>
      <c r="E290" s="7" t="s">
        <v>1052</v>
      </c>
      <c r="F290" s="4" t="s">
        <v>25</v>
      </c>
      <c r="G290" s="4" t="s">
        <v>4</v>
      </c>
      <c r="H290" s="4" t="s">
        <v>26</v>
      </c>
      <c r="I290" s="4" t="s">
        <v>26</v>
      </c>
      <c r="J290" s="7"/>
    </row>
    <row r="291" ht="14.25" customHeight="1">
      <c r="A291" s="4" t="s">
        <v>1053</v>
      </c>
      <c r="B291" s="4" t="s">
        <v>78</v>
      </c>
      <c r="C291" s="7" t="s">
        <v>1054</v>
      </c>
      <c r="D291" s="7" t="s">
        <v>1055</v>
      </c>
      <c r="E291" s="7" t="s">
        <v>1056</v>
      </c>
      <c r="F291" s="4" t="s">
        <v>25</v>
      </c>
      <c r="G291" s="4" t="s">
        <v>4</v>
      </c>
      <c r="H291" s="4" t="s">
        <v>26</v>
      </c>
      <c r="I291" s="4" t="s">
        <v>26</v>
      </c>
      <c r="J291" s="7"/>
    </row>
    <row r="292" ht="14.25" customHeight="1">
      <c r="A292" s="4" t="s">
        <v>1057</v>
      </c>
      <c r="B292" s="4" t="s">
        <v>81</v>
      </c>
      <c r="C292" s="7" t="s">
        <v>1058</v>
      </c>
      <c r="D292" s="7" t="s">
        <v>1059</v>
      </c>
      <c r="E292" s="7" t="s">
        <v>1060</v>
      </c>
      <c r="F292" s="4" t="s">
        <v>25</v>
      </c>
      <c r="G292" s="4" t="s">
        <v>4</v>
      </c>
      <c r="H292" s="4" t="s">
        <v>26</v>
      </c>
      <c r="I292" s="4" t="s">
        <v>26</v>
      </c>
      <c r="J292" s="7"/>
    </row>
    <row r="293" ht="14.25" customHeight="1">
      <c r="A293" s="4" t="s">
        <v>1061</v>
      </c>
      <c r="B293" s="4" t="s">
        <v>81</v>
      </c>
      <c r="C293" s="7" t="s">
        <v>1062</v>
      </c>
      <c r="D293" s="7" t="s">
        <v>1063</v>
      </c>
      <c r="E293" s="7" t="s">
        <v>1064</v>
      </c>
      <c r="F293" s="4" t="s">
        <v>25</v>
      </c>
      <c r="G293" s="4" t="s">
        <v>4</v>
      </c>
      <c r="H293" s="4" t="s">
        <v>26</v>
      </c>
      <c r="I293" s="4" t="s">
        <v>26</v>
      </c>
      <c r="J293" s="7"/>
    </row>
    <row r="294" ht="14.25" customHeight="1">
      <c r="A294" s="4" t="s">
        <v>1065</v>
      </c>
      <c r="B294" s="4" t="s">
        <v>81</v>
      </c>
      <c r="C294" s="7" t="s">
        <v>1066</v>
      </c>
      <c r="D294" s="7" t="s">
        <v>1067</v>
      </c>
      <c r="E294" s="7" t="s">
        <v>1068</v>
      </c>
      <c r="F294" s="4" t="s">
        <v>25</v>
      </c>
      <c r="G294" s="4" t="s">
        <v>4</v>
      </c>
      <c r="H294" s="4" t="s">
        <v>26</v>
      </c>
      <c r="I294" s="4" t="s">
        <v>26</v>
      </c>
      <c r="J294" s="7"/>
    </row>
    <row r="295" ht="14.25" customHeight="1">
      <c r="A295" s="4" t="s">
        <v>1069</v>
      </c>
      <c r="B295" s="4" t="s">
        <v>81</v>
      </c>
      <c r="C295" s="7" t="s">
        <v>1070</v>
      </c>
      <c r="D295" s="7" t="s">
        <v>1071</v>
      </c>
      <c r="E295" s="7" t="s">
        <v>1072</v>
      </c>
      <c r="F295" s="4" t="s">
        <v>25</v>
      </c>
      <c r="G295" s="4" t="s">
        <v>4</v>
      </c>
      <c r="H295" s="4" t="s">
        <v>26</v>
      </c>
      <c r="I295" s="4" t="s">
        <v>26</v>
      </c>
      <c r="J295" s="7"/>
    </row>
    <row r="296" ht="14.25" customHeight="1">
      <c r="A296" s="4" t="s">
        <v>1073</v>
      </c>
      <c r="B296" s="4" t="s">
        <v>81</v>
      </c>
      <c r="C296" s="7" t="s">
        <v>1074</v>
      </c>
      <c r="D296" s="7" t="s">
        <v>1075</v>
      </c>
      <c r="E296" s="7" t="s">
        <v>1076</v>
      </c>
      <c r="F296" s="4" t="s">
        <v>25</v>
      </c>
      <c r="G296" s="4" t="s">
        <v>4</v>
      </c>
      <c r="H296" s="4" t="s">
        <v>26</v>
      </c>
      <c r="I296" s="4" t="s">
        <v>26</v>
      </c>
      <c r="J296" s="7"/>
    </row>
    <row r="297" ht="14.25" customHeight="1">
      <c r="A297" s="4" t="s">
        <v>1077</v>
      </c>
      <c r="B297" s="4" t="s">
        <v>81</v>
      </c>
      <c r="C297" s="7" t="s">
        <v>1078</v>
      </c>
      <c r="D297" s="7" t="s">
        <v>1079</v>
      </c>
      <c r="E297" s="7" t="s">
        <v>1080</v>
      </c>
      <c r="F297" s="4" t="s">
        <v>25</v>
      </c>
      <c r="G297" s="4" t="s">
        <v>4</v>
      </c>
      <c r="H297" s="4" t="s">
        <v>26</v>
      </c>
      <c r="I297" s="4" t="s">
        <v>26</v>
      </c>
      <c r="J297" s="7"/>
    </row>
    <row r="298" ht="14.25" customHeight="1">
      <c r="A298" s="4" t="s">
        <v>1081</v>
      </c>
      <c r="B298" s="4" t="s">
        <v>81</v>
      </c>
      <c r="C298" s="7" t="s">
        <v>1082</v>
      </c>
      <c r="D298" s="7" t="s">
        <v>1083</v>
      </c>
      <c r="E298" s="7" t="s">
        <v>1084</v>
      </c>
      <c r="F298" s="4" t="s">
        <v>25</v>
      </c>
      <c r="G298" s="4" t="s">
        <v>4</v>
      </c>
      <c r="H298" s="4" t="s">
        <v>26</v>
      </c>
      <c r="I298" s="4" t="s">
        <v>26</v>
      </c>
      <c r="J298" s="7"/>
    </row>
    <row r="299" ht="14.25" customHeight="1">
      <c r="A299" s="4" t="s">
        <v>1085</v>
      </c>
      <c r="B299" s="4" t="s">
        <v>81</v>
      </c>
      <c r="C299" s="7" t="s">
        <v>1086</v>
      </c>
      <c r="D299" s="7" t="s">
        <v>1087</v>
      </c>
      <c r="E299" s="7" t="s">
        <v>1088</v>
      </c>
      <c r="F299" s="4" t="s">
        <v>25</v>
      </c>
      <c r="G299" s="4" t="s">
        <v>4</v>
      </c>
      <c r="H299" s="4" t="s">
        <v>26</v>
      </c>
      <c r="I299" s="4" t="s">
        <v>26</v>
      </c>
      <c r="J299" s="7"/>
    </row>
    <row r="300" ht="14.25" customHeight="1">
      <c r="A300" s="4" t="s">
        <v>1089</v>
      </c>
      <c r="B300" s="4" t="s">
        <v>81</v>
      </c>
      <c r="C300" s="7" t="s">
        <v>1090</v>
      </c>
      <c r="D300" s="7" t="s">
        <v>1091</v>
      </c>
      <c r="E300" s="7" t="s">
        <v>1092</v>
      </c>
      <c r="F300" s="4" t="s">
        <v>25</v>
      </c>
      <c r="G300" s="4" t="s">
        <v>4</v>
      </c>
      <c r="H300" s="4" t="s">
        <v>26</v>
      </c>
      <c r="I300" s="4" t="s">
        <v>26</v>
      </c>
      <c r="J300" s="7"/>
    </row>
    <row r="301" ht="14.25" customHeight="1">
      <c r="A301" s="4" t="s">
        <v>1093</v>
      </c>
      <c r="B301" s="4" t="s">
        <v>81</v>
      </c>
      <c r="C301" s="7" t="s">
        <v>1094</v>
      </c>
      <c r="D301" s="7" t="s">
        <v>1095</v>
      </c>
      <c r="E301" s="7" t="s">
        <v>1096</v>
      </c>
      <c r="F301" s="4" t="s">
        <v>25</v>
      </c>
      <c r="G301" s="4" t="s">
        <v>4</v>
      </c>
      <c r="H301" s="4" t="s">
        <v>26</v>
      </c>
      <c r="I301" s="4" t="s">
        <v>26</v>
      </c>
      <c r="J301" s="7"/>
    </row>
    <row r="302" ht="14.25" customHeight="1">
      <c r="A302" s="4" t="s">
        <v>1097</v>
      </c>
      <c r="B302" s="4" t="s">
        <v>81</v>
      </c>
      <c r="C302" s="7" t="s">
        <v>1098</v>
      </c>
      <c r="D302" s="7" t="s">
        <v>1099</v>
      </c>
      <c r="E302" s="7" t="s">
        <v>1100</v>
      </c>
      <c r="F302" s="4" t="s">
        <v>25</v>
      </c>
      <c r="G302" s="4" t="s">
        <v>4</v>
      </c>
      <c r="H302" s="4" t="s">
        <v>26</v>
      </c>
      <c r="I302" s="4" t="s">
        <v>26</v>
      </c>
      <c r="J302" s="7"/>
    </row>
    <row r="303" ht="14.25" customHeight="1">
      <c r="A303" s="4" t="s">
        <v>1101</v>
      </c>
      <c r="B303" s="4" t="s">
        <v>81</v>
      </c>
      <c r="C303" s="7" t="s">
        <v>1102</v>
      </c>
      <c r="D303" s="7" t="s">
        <v>1103</v>
      </c>
      <c r="E303" s="7" t="s">
        <v>1104</v>
      </c>
      <c r="F303" s="4" t="s">
        <v>25</v>
      </c>
      <c r="G303" s="4" t="s">
        <v>4</v>
      </c>
      <c r="H303" s="4" t="s">
        <v>26</v>
      </c>
      <c r="I303" s="4" t="s">
        <v>26</v>
      </c>
      <c r="J303" s="7"/>
    </row>
    <row r="304" ht="14.25" customHeight="1">
      <c r="A304" s="4" t="s">
        <v>1105</v>
      </c>
      <c r="B304" s="4" t="s">
        <v>81</v>
      </c>
      <c r="C304" s="7" t="s">
        <v>1106</v>
      </c>
      <c r="D304" s="7" t="s">
        <v>1107</v>
      </c>
      <c r="E304" s="7" t="s">
        <v>1108</v>
      </c>
      <c r="F304" s="4" t="s">
        <v>25</v>
      </c>
      <c r="G304" s="4" t="s">
        <v>4</v>
      </c>
      <c r="H304" s="4" t="s">
        <v>26</v>
      </c>
      <c r="I304" s="4" t="s">
        <v>26</v>
      </c>
      <c r="J304" s="7"/>
    </row>
    <row r="305" ht="14.25" customHeight="1">
      <c r="A305" s="4" t="s">
        <v>1109</v>
      </c>
      <c r="B305" s="4" t="s">
        <v>81</v>
      </c>
      <c r="C305" s="7" t="s">
        <v>1110</v>
      </c>
      <c r="D305" s="7" t="s">
        <v>1111</v>
      </c>
      <c r="E305" s="7" t="s">
        <v>1112</v>
      </c>
      <c r="F305" s="4" t="s">
        <v>25</v>
      </c>
      <c r="G305" s="4" t="s">
        <v>4</v>
      </c>
      <c r="H305" s="4" t="s">
        <v>26</v>
      </c>
      <c r="I305" s="4" t="s">
        <v>26</v>
      </c>
      <c r="J305" s="7"/>
    </row>
    <row r="306" ht="14.25" customHeight="1">
      <c r="A306" s="4" t="s">
        <v>1113</v>
      </c>
      <c r="B306" s="4" t="s">
        <v>81</v>
      </c>
      <c r="C306" s="7" t="s">
        <v>1114</v>
      </c>
      <c r="D306" s="7" t="s">
        <v>1115</v>
      </c>
      <c r="E306" s="7" t="s">
        <v>1116</v>
      </c>
      <c r="F306" s="4" t="s">
        <v>25</v>
      </c>
      <c r="G306" s="4" t="s">
        <v>4</v>
      </c>
      <c r="H306" s="4" t="s">
        <v>26</v>
      </c>
      <c r="I306" s="4" t="s">
        <v>26</v>
      </c>
      <c r="J306" s="7"/>
    </row>
    <row r="307" ht="14.25" customHeight="1">
      <c r="A307" s="4" t="s">
        <v>1117</v>
      </c>
      <c r="B307" s="4" t="s">
        <v>81</v>
      </c>
      <c r="C307" s="7" t="s">
        <v>1118</v>
      </c>
      <c r="D307" s="7" t="s">
        <v>1119</v>
      </c>
      <c r="E307" s="7" t="s">
        <v>1120</v>
      </c>
      <c r="F307" s="4" t="s">
        <v>25</v>
      </c>
      <c r="G307" s="4" t="s">
        <v>4</v>
      </c>
      <c r="H307" s="4" t="s">
        <v>26</v>
      </c>
      <c r="I307" s="4" t="s">
        <v>26</v>
      </c>
      <c r="J307" s="7"/>
    </row>
    <row r="308" ht="14.25" customHeight="1">
      <c r="A308" s="4" t="s">
        <v>1121</v>
      </c>
      <c r="B308" s="4" t="s">
        <v>81</v>
      </c>
      <c r="C308" s="7" t="s">
        <v>1122</v>
      </c>
      <c r="D308" s="7" t="s">
        <v>1123</v>
      </c>
      <c r="E308" s="7" t="s">
        <v>1124</v>
      </c>
      <c r="F308" s="4" t="s">
        <v>25</v>
      </c>
      <c r="G308" s="4" t="s">
        <v>4</v>
      </c>
      <c r="H308" s="4" t="s">
        <v>26</v>
      </c>
      <c r="I308" s="4" t="s">
        <v>26</v>
      </c>
      <c r="J308" s="7"/>
    </row>
    <row r="309" ht="14.25" customHeight="1">
      <c r="A309" s="4" t="s">
        <v>1125</v>
      </c>
      <c r="B309" s="4" t="s">
        <v>81</v>
      </c>
      <c r="C309" s="7" t="s">
        <v>1126</v>
      </c>
      <c r="D309" s="7" t="s">
        <v>1127</v>
      </c>
      <c r="E309" s="7" t="s">
        <v>1128</v>
      </c>
      <c r="F309" s="4" t="s">
        <v>25</v>
      </c>
      <c r="G309" s="4" t="s">
        <v>4</v>
      </c>
      <c r="H309" s="4" t="s">
        <v>26</v>
      </c>
      <c r="I309" s="4" t="s">
        <v>26</v>
      </c>
      <c r="J309" s="7"/>
    </row>
    <row r="310" ht="14.25" customHeight="1">
      <c r="A310" s="4" t="s">
        <v>1129</v>
      </c>
      <c r="B310" s="4" t="s">
        <v>81</v>
      </c>
      <c r="C310" s="7" t="s">
        <v>1130</v>
      </c>
      <c r="D310" s="7" t="s">
        <v>1131</v>
      </c>
      <c r="E310" s="7" t="s">
        <v>1132</v>
      </c>
      <c r="F310" s="4" t="s">
        <v>25</v>
      </c>
      <c r="G310" s="4" t="s">
        <v>4</v>
      </c>
      <c r="H310" s="4" t="s">
        <v>26</v>
      </c>
      <c r="I310" s="4" t="s">
        <v>26</v>
      </c>
      <c r="J310" s="7"/>
    </row>
    <row r="311" ht="14.25" customHeight="1">
      <c r="A311" s="4" t="s">
        <v>1133</v>
      </c>
      <c r="B311" s="4" t="s">
        <v>81</v>
      </c>
      <c r="C311" s="7" t="s">
        <v>1134</v>
      </c>
      <c r="D311" s="7" t="s">
        <v>1135</v>
      </c>
      <c r="E311" s="7" t="s">
        <v>1136</v>
      </c>
      <c r="F311" s="4" t="s">
        <v>25</v>
      </c>
      <c r="G311" s="4" t="s">
        <v>4</v>
      </c>
      <c r="H311" s="4" t="s">
        <v>26</v>
      </c>
      <c r="I311" s="4" t="s">
        <v>26</v>
      </c>
      <c r="J311" s="7"/>
    </row>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31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20.86"/>
    <col customWidth="1" min="3" max="3" width="15.57"/>
    <col customWidth="1" min="4" max="4" width="14.86"/>
    <col customWidth="1" min="5" max="5" width="14.0"/>
    <col customWidth="1" min="6" max="6" width="24.0"/>
    <col customWidth="1" min="7" max="7" width="14.43"/>
    <col customWidth="1" min="8" max="8" width="24.29"/>
    <col customWidth="1" min="9" max="26" width="8.71"/>
  </cols>
  <sheetData>
    <row r="1" ht="14.25" customHeight="1">
      <c r="A1" s="1" t="s">
        <v>0</v>
      </c>
      <c r="B1" s="1" t="s">
        <v>3</v>
      </c>
      <c r="C1" s="1" t="s">
        <v>4</v>
      </c>
      <c r="D1" s="1" t="s">
        <v>5</v>
      </c>
      <c r="E1" s="1" t="s">
        <v>6</v>
      </c>
      <c r="F1" s="1" t="s">
        <v>7</v>
      </c>
      <c r="G1" s="1" t="s">
        <v>8</v>
      </c>
      <c r="H1" s="1" t="s">
        <v>9</v>
      </c>
    </row>
    <row r="2" ht="14.25" customHeight="1">
      <c r="A2" s="5" t="s">
        <v>10</v>
      </c>
      <c r="B2" s="8">
        <v>60.0</v>
      </c>
      <c r="C2" s="8">
        <v>60.0</v>
      </c>
      <c r="D2" s="10">
        <v>1.0</v>
      </c>
      <c r="E2" s="5" t="s">
        <v>51</v>
      </c>
      <c r="F2" s="8">
        <v>0.0</v>
      </c>
      <c r="G2" s="8">
        <v>0.0</v>
      </c>
      <c r="H2" s="10">
        <v>1.0</v>
      </c>
    </row>
    <row r="3" ht="14.25" customHeight="1">
      <c r="A3" s="5" t="s">
        <v>54</v>
      </c>
      <c r="B3" s="8">
        <v>40.0</v>
      </c>
      <c r="C3" s="8">
        <v>39.0</v>
      </c>
      <c r="D3" s="10">
        <v>0.975</v>
      </c>
      <c r="E3" s="5" t="s">
        <v>56</v>
      </c>
      <c r="F3" s="8">
        <v>1.0</v>
      </c>
      <c r="G3" s="8">
        <v>0.0</v>
      </c>
      <c r="H3" s="10">
        <v>1.0</v>
      </c>
    </row>
    <row r="4" ht="14.25" customHeight="1">
      <c r="A4" s="5" t="s">
        <v>59</v>
      </c>
      <c r="B4" s="8">
        <v>10.0</v>
      </c>
      <c r="C4" s="8">
        <v>10.0</v>
      </c>
      <c r="D4" s="10">
        <v>1.0</v>
      </c>
      <c r="E4" s="5" t="s">
        <v>61</v>
      </c>
      <c r="F4" s="8">
        <v>0.0</v>
      </c>
      <c r="G4" s="8">
        <v>0.0</v>
      </c>
      <c r="H4" s="10">
        <v>1.0</v>
      </c>
    </row>
    <row r="5" ht="14.25" customHeight="1">
      <c r="A5" s="5" t="s">
        <v>62</v>
      </c>
      <c r="B5" s="8">
        <v>60.0</v>
      </c>
      <c r="C5" s="8">
        <v>60.0</v>
      </c>
      <c r="D5" s="10">
        <v>1.0</v>
      </c>
      <c r="E5" s="5" t="s">
        <v>51</v>
      </c>
      <c r="F5" s="8">
        <v>0.0</v>
      </c>
      <c r="G5" s="8">
        <v>0.0</v>
      </c>
      <c r="H5" s="10">
        <v>1.0</v>
      </c>
    </row>
    <row r="6" ht="14.25" customHeight="1">
      <c r="A6" s="5" t="s">
        <v>66</v>
      </c>
      <c r="B6" s="8">
        <v>40.0</v>
      </c>
      <c r="C6" s="8">
        <v>0.0</v>
      </c>
      <c r="D6" s="10">
        <v>0.0</v>
      </c>
      <c r="E6" s="5" t="s">
        <v>67</v>
      </c>
      <c r="F6" s="8">
        <v>1.0</v>
      </c>
      <c r="G6" s="8">
        <v>0.0</v>
      </c>
      <c r="H6" s="10">
        <v>1.0</v>
      </c>
    </row>
    <row r="7" ht="14.25" customHeight="1">
      <c r="A7" s="5" t="s">
        <v>70</v>
      </c>
      <c r="B7" s="8">
        <v>20.0</v>
      </c>
      <c r="C7" s="8">
        <v>20.0</v>
      </c>
      <c r="D7" s="10">
        <v>1.0</v>
      </c>
      <c r="E7" s="5" t="s">
        <v>72</v>
      </c>
      <c r="F7" s="8">
        <v>0.0</v>
      </c>
      <c r="G7" s="8">
        <v>0.0</v>
      </c>
      <c r="H7" s="10">
        <v>1.0</v>
      </c>
    </row>
    <row r="8" ht="14.25" customHeight="1">
      <c r="A8" s="5" t="s">
        <v>73</v>
      </c>
      <c r="B8" s="8">
        <v>30.0</v>
      </c>
      <c r="C8" s="8">
        <v>30.0</v>
      </c>
      <c r="D8" s="10">
        <v>1.0</v>
      </c>
      <c r="E8" s="5" t="s">
        <v>76</v>
      </c>
      <c r="F8" s="8">
        <v>0.0</v>
      </c>
      <c r="G8" s="8">
        <v>0.0</v>
      </c>
      <c r="H8" s="10">
        <v>1.0</v>
      </c>
    </row>
    <row r="9" ht="14.25" customHeight="1">
      <c r="A9" s="5" t="s">
        <v>78</v>
      </c>
      <c r="B9" s="8">
        <v>30.0</v>
      </c>
      <c r="C9" s="8">
        <v>30.0</v>
      </c>
      <c r="D9" s="10">
        <v>1.0</v>
      </c>
      <c r="E9" s="5" t="s">
        <v>76</v>
      </c>
      <c r="F9" s="8">
        <v>0.0</v>
      </c>
      <c r="G9" s="8">
        <v>0.0</v>
      </c>
      <c r="H9" s="10">
        <v>1.0</v>
      </c>
    </row>
    <row r="10" ht="14.25" customHeight="1">
      <c r="A10" s="5" t="s">
        <v>81</v>
      </c>
      <c r="B10" s="8">
        <v>20.0</v>
      </c>
      <c r="C10" s="8">
        <v>20.0</v>
      </c>
      <c r="D10" s="10">
        <v>1.0</v>
      </c>
      <c r="E10" s="5" t="s">
        <v>72</v>
      </c>
      <c r="F10" s="8">
        <v>0.0</v>
      </c>
      <c r="G10" s="8">
        <v>0.0</v>
      </c>
      <c r="H10" s="10">
        <v>1.0</v>
      </c>
    </row>
    <row r="11" ht="14.25" customHeight="1">
      <c r="A11" s="12" t="s">
        <v>84</v>
      </c>
      <c r="B11" s="13">
        <v>310.0</v>
      </c>
      <c r="C11" s="13">
        <v>269.0</v>
      </c>
      <c r="D11" s="14">
        <v>0.868</v>
      </c>
      <c r="E11" s="12" t="s">
        <v>100</v>
      </c>
      <c r="F11" s="13">
        <v>2.0</v>
      </c>
      <c r="G11" s="13">
        <v>0.0</v>
      </c>
      <c r="H11" s="14">
        <v>1.0</v>
      </c>
    </row>
    <row r="12" ht="14.25" customHeight="1"/>
    <row r="13" ht="14.25" customHeight="1"/>
    <row r="14" ht="14.25" customHeight="1">
      <c r="A14" s="9" t="s">
        <v>103</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2026-10-06T17:28:25Z</dcterms:created>
  <dc:creator>openpyxl</dc:creator>
</cp:coreProperties>
</file>