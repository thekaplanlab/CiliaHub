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gend" sheetId="1" r:id="rId4"/>
    <sheet state="visible" name="Summary" sheetId="2" r:id="rId5"/>
    <sheet state="visible" name="Ciliopathies" sheetId="3" r:id="rId6"/>
    <sheet state="visible" name="Ciliary Dyskinesia" sheetId="4" r:id="rId7"/>
    <sheet state="visible" name="Dilated Cardiomyopathy" sheetId="5" r:id="rId8"/>
  </sheets>
  <definedNames>
    <definedName hidden="1" localSheetId="2" name="_xlnm._FilterDatabase">Ciliopathies!$A$1:$P$163</definedName>
    <definedName hidden="1" localSheetId="3" name="_xlnm._FilterDatabase">'Ciliary Dyskinesia'!$A$1:$P$78</definedName>
    <definedName hidden="1" localSheetId="4" name="_xlnm._FilterDatabase">'Dilated Cardiomyopathy'!$A$1:$P$75</definedName>
  </definedNames>
  <calcPr/>
  <extLst>
    <ext uri="GoogleSheetsCustomDataVersion2">
      <go:sheetsCustomData xmlns:go="http://customooxmlschemas.google.com/" r:id="rId9" roundtripDataChecksum="QGqZxdh9aoyWApPWbp3/hg7HhMMvkAnWyT3ryYxN28k="/>
    </ext>
  </extLst>
</workbook>
</file>

<file path=xl/sharedStrings.xml><?xml version="1.0" encoding="utf-8"?>
<sst xmlns="http://schemas.openxmlformats.org/spreadsheetml/2006/main" count="4492" uniqueCount="1564">
  <si>
    <t>Supplementary Table S3. Validation of CiliaHub against independent clinical gene panels (PanelApp Australia)</t>
  </si>
  <si>
    <t>Panel</t>
  </si>
  <si>
    <t>Gene symbol (panel)</t>
  </si>
  <si>
    <t>CiliaHub release: v9.2 (frozen 2026-10-03); 2,785 genes (2,179 gold-standard, 606 cilia-associated).</t>
  </si>
  <si>
    <t>PanelApp rating</t>
  </si>
  <si>
    <t>Mode of inheritance</t>
  </si>
  <si>
    <t>Phenotypes (panel)</t>
  </si>
  <si>
    <t>Ensembl ID GRCh38 (panel)</t>
  </si>
  <si>
    <t>Panels: PanelApp Australia (https://panelapp-aus.org), downloaded 26 September 2026 as TSV: Ciliopathies (panel 84, v2.21), Ciliary Dyskinesia (panel 82, v2.0) and, as a non-ciliary control, Dilated Cardiomyopathy (panel 95, v2.12).</t>
  </si>
  <si>
    <t>HGNC ID (panel)</t>
  </si>
  <si>
    <t>Only gene entities were analysed; the two copy-number region entities on the Ciliopathies panel (NPHP1 deletion, 17q12 deletion) were excluded, as their key genes (NPHP1, HNF1B) are listed as gene entities.</t>
  </si>
  <si>
    <t>Panel sources</t>
  </si>
  <si>
    <t>In CiliaHub</t>
  </si>
  <si>
    <t>PanelApp rating: Green = diagnostic-grade evidence (primary analysis); Amber = moderate evidence; Red = insufficient evidence.</t>
  </si>
  <si>
    <t>CiliaHub gene</t>
  </si>
  <si>
    <t>Match method</t>
  </si>
  <si>
    <t>Gene matching, in order of priority: (1) panel GRCh38 Ensembl ID matched to a CiliaHub Ensembl ID; (2) Ensembl ID mapped to its current HGNC symbol, then matched to CiliaHub; (3) exact current symbol; (4) HGNC previous symbol, CiliaHub synonym, then HGNC alias, used only when unique and not itself a current HGNC symbol of another gene.</t>
  </si>
  <si>
    <t>CiliaHub category</t>
  </si>
  <si>
    <t>In ciliopathy module</t>
  </si>
  <si>
    <t>Role</t>
  </si>
  <si>
    <t>Ciliopathy module: CiliaHub genes linked to at least one ciliopathy (primary, motile or tissue-restricted); genes linked only to secondary disorders are excluded.</t>
  </si>
  <si>
    <t>CiliaHub ciliopathies</t>
  </si>
  <si>
    <t>Fold enrichment = (fraction of panel genes captured) / (fraction of the 19,214 protein-coding genes in CiliaHub or in the module).</t>
  </si>
  <si>
    <t>Sheets:</t>
  </si>
  <si>
    <t>Genes</t>
  </si>
  <si>
    <t>Summary: recall, category split, ciliopathy-module recall, fold enrichment and Fisher P values, by panel and rating.</t>
  </si>
  <si>
    <t>CiliaHub ciliopathy classification</t>
  </si>
  <si>
    <t>CiliaHub localization</t>
  </si>
  <si>
    <t>Ciliopathies, Ciliary Dyskinesia, Dilated Cardiomyopathy: one row per panel gene, with the panel annotation and the matched CiliaHub record.</t>
  </si>
  <si>
    <t>Note</t>
  </si>
  <si>
    <t>% in CiliaHub</t>
  </si>
  <si>
    <t>Gold-standard</t>
  </si>
  <si>
    <t>Cilia-associated</t>
  </si>
  <si>
    <t>% in ciliopathy module</t>
  </si>
  <si>
    <t>Fold enrichment, CiliaHub</t>
  </si>
  <si>
    <t>Fisher P, CiliaHub (one-sided)</t>
  </si>
  <si>
    <t>Fold enrichment, module</t>
  </si>
  <si>
    <t>Fisher P, module (one-sided)</t>
  </si>
  <si>
    <t>AHI1</t>
  </si>
  <si>
    <t>Green</t>
  </si>
  <si>
    <t>BIALLELIC, autosomal or pseudoautosomal</t>
  </si>
  <si>
    <t>Joubert syndrome 3, MIM# 608629</t>
  </si>
  <si>
    <t>Ciliopathies (panel 84, v2.21)</t>
  </si>
  <si>
    <t>Ciliary (test)</t>
  </si>
  <si>
    <t>ENSG00000135541</t>
  </si>
  <si>
    <t>AGR2</t>
  </si>
  <si>
    <t>HGNC:21575</t>
  </si>
  <si>
    <t>Expert Review Green;Victorian Clinical Genetics Services</t>
  </si>
  <si>
    <t>Yes</t>
  </si>
  <si>
    <t>Ensembl ID</t>
  </si>
  <si>
    <t>Recurrent respiratory infections and failure to thrive with or without diarrhea (RIFTD), MIM#620233</t>
  </si>
  <si>
    <t>ENSG00000106541</t>
  </si>
  <si>
    <t>HGNC:328</t>
  </si>
  <si>
    <t>Joubert Syndrome; Nephronophthisis</t>
  </si>
  <si>
    <t>Expert Review Green;Literature</t>
  </si>
  <si>
    <t>No</t>
  </si>
  <si>
    <t>Primary Ciliopathies</t>
  </si>
  <si>
    <t>Not found</t>
  </si>
  <si>
    <t>basal body; centrosome; cilia</t>
  </si>
  <si>
    <t>Not in CiliaHub</t>
  </si>
  <si>
    <t>Modifier: in one acrocallosal syndrome family with a homozygous KIF7 deletion, an additional AHI1 (p.R830W) variant was proposed as an oligogenic contributor to phenotypic variability (PMID 23142271).</t>
  </si>
  <si>
    <t>ALMS1</t>
  </si>
  <si>
    <t>CCDC39</t>
  </si>
  <si>
    <t>Alstrom syndrome, MIM# 203800</t>
  </si>
  <si>
    <t>ENSG00000116127</t>
  </si>
  <si>
    <t>HGNC:428</t>
  </si>
  <si>
    <t>Ciliary dyskinesia, primary, 14, MIM# 613807</t>
  </si>
  <si>
    <t>ENSG00000284862</t>
  </si>
  <si>
    <t>HGNC:25244</t>
  </si>
  <si>
    <t>Alström Syndrome</t>
  </si>
  <si>
    <t>basal body; centrosome; cilia; cytosol</t>
  </si>
  <si>
    <t>ANKS6</t>
  </si>
  <si>
    <t>Nephronophthisis 16, MIM# 615382;MONDO:0014158</t>
  </si>
  <si>
    <t>ENSG00000165138</t>
  </si>
  <si>
    <t>HGNC:26724</t>
  </si>
  <si>
    <t>Nephronophthisis; Polycystic Kidney Disease</t>
  </si>
  <si>
    <t>Primary Ciliopathies; Tissue-restricted Ciliopathies</t>
  </si>
  <si>
    <t>cilia</t>
  </si>
  <si>
    <t>ARL13B</t>
  </si>
  <si>
    <t>Mucociliary Clearance Disorder; Primary Ciliary Dyskinesia</t>
  </si>
  <si>
    <t>Motile Ciliopathies</t>
  </si>
  <si>
    <t>Joubert syndrome 8, MIM# 612291</t>
  </si>
  <si>
    <t>ENSG00000169379</t>
  </si>
  <si>
    <t>HGNC:25419</t>
  </si>
  <si>
    <t>CCDC40</t>
  </si>
  <si>
    <t>Joubert Syndrome</t>
  </si>
  <si>
    <t>Ciliary dyskinesia, primary, 15, MIM#613808</t>
  </si>
  <si>
    <t>ENSG00000141519</t>
  </si>
  <si>
    <t>HGNC:26090</t>
  </si>
  <si>
    <t>ARL3</t>
  </si>
  <si>
    <t>Joubert syndrome 35 MIM#618161</t>
  </si>
  <si>
    <t>ENSG00000138175</t>
  </si>
  <si>
    <t>Primary Ciliary Dyskinesia</t>
  </si>
  <si>
    <t>HGNC:694</t>
  </si>
  <si>
    <t>cilia; microtubules</t>
  </si>
  <si>
    <t>CCNO</t>
  </si>
  <si>
    <t>Autosomal Recessive Polycystic Kidney Disease; Cone-Rod Dystrophy; Joubert Syndrome; Retinal Dystrophy/Degeneration</t>
  </si>
  <si>
    <t>Ciliary dyskinesia, primary, 29, MIM# 615872</t>
  </si>
  <si>
    <t>Tissue-restricted Ciliopathies; Primary Ciliopathies</t>
  </si>
  <si>
    <t>ENSG00000152669</t>
  </si>
  <si>
    <t>basal body; centrosome; nucleus</t>
  </si>
  <si>
    <t>HGNC:18576</t>
  </si>
  <si>
    <t>ARL6</t>
  </si>
  <si>
    <t>Bardet-Biedl syndrome 3, MIM# 600151;Retinitis pigmentosa 55, MIM# 613575</t>
  </si>
  <si>
    <t>ENSG00000113966</t>
  </si>
  <si>
    <t>HGNC:13210</t>
  </si>
  <si>
    <t>basal body; nucleus</t>
  </si>
  <si>
    <t>Bardet-Biedl Syndrome; Retinal Dystrophy/Degeneration</t>
  </si>
  <si>
    <t>CFAP221</t>
  </si>
  <si>
    <t>basal body; cilia; transition zone</t>
  </si>
  <si>
    <t>Ciliary dyskinesia, primary, 55, MIM# 279000</t>
  </si>
  <si>
    <t>ARMC9</t>
  </si>
  <si>
    <t>ENSG00000163075</t>
  </si>
  <si>
    <t>HGNC:33720</t>
  </si>
  <si>
    <t>Joubert syndrome 30	617622	AR</t>
  </si>
  <si>
    <t>ENSG00000135931</t>
  </si>
  <si>
    <t>HGNC:20730</t>
  </si>
  <si>
    <t>Expert list;Expert Review Green</t>
  </si>
  <si>
    <t>basal body; cilia</t>
  </si>
  <si>
    <t>B9D1</t>
  </si>
  <si>
    <t>Ciliopathy, MONDO:0005308, B9D1-related</t>
  </si>
  <si>
    <t>ENSG00000108641</t>
  </si>
  <si>
    <t>CFAP298</t>
  </si>
  <si>
    <t>HGNC:24123</t>
  </si>
  <si>
    <t>Ciliary dyskinesia, primary, 26, MIM# 615500</t>
  </si>
  <si>
    <t>ENSG00000159079</t>
  </si>
  <si>
    <t>HGNC:1301</t>
  </si>
  <si>
    <t>Joubert Syndrome; Meckel-Gruber Syndrome</t>
  </si>
  <si>
    <t>basal body; centrosome; transition zone</t>
  </si>
  <si>
    <t>B9D2</t>
  </si>
  <si>
    <t>CFAP300</t>
  </si>
  <si>
    <t>Ciliary dyskinesia, primary, 38	618063</t>
  </si>
  <si>
    <t>Joubert syndrome 34, MIM# 614175;Meckel syndrome 10, MIM# 614175</t>
  </si>
  <si>
    <t>ENSG00000137691</t>
  </si>
  <si>
    <t>ENSG00000123810</t>
  </si>
  <si>
    <t>HGNC:28188</t>
  </si>
  <si>
    <t>HGNC:28636</t>
  </si>
  <si>
    <t>Joubert Syndrome; Meckel-Gruber Syndrome; Nephronophthisis</t>
  </si>
  <si>
    <t>basal body; centrosome; cytosol; nucleus; transition zone</t>
  </si>
  <si>
    <t>Male Infertility; Primary Ciliary Dyskinesia</t>
  </si>
  <si>
    <t>BBIP1</t>
  </si>
  <si>
    <t>CFAP53</t>
  </si>
  <si>
    <t>Bardet-Biedl syndrome 18, MIM#615995</t>
  </si>
  <si>
    <t>ENSG00000214413</t>
  </si>
  <si>
    <t>HGNC:28093</t>
  </si>
  <si>
    <t>Heterotaxy, visceral, 6, autosomal recessive 614779</t>
  </si>
  <si>
    <t>ENSG00000172361</t>
  </si>
  <si>
    <t>HGNC:26530</t>
  </si>
  <si>
    <t>Bardet-Biedl Syndrome</t>
  </si>
  <si>
    <t>Visceral Heterotaxy / Situs Inversus</t>
  </si>
  <si>
    <t>BBS1</t>
  </si>
  <si>
    <t>basal body</t>
  </si>
  <si>
    <t>Bardet-Biedl syndrome 1, MIM# 209900</t>
  </si>
  <si>
    <t>ENSG00000174483</t>
  </si>
  <si>
    <t>HGNC:966</t>
  </si>
  <si>
    <t>CFAP54</t>
  </si>
  <si>
    <t>Spermatogenic failure 98, MIM# 621124;Ciliary dyskinesia, primary, 54, MIM# 621125</t>
  </si>
  <si>
    <t>ENSG00000188596</t>
  </si>
  <si>
    <t>Bardet-Biedl Syndrome; Cranioectodermal Dysplasia (Sensenbrenner)</t>
  </si>
  <si>
    <t>HGNC:26456</t>
  </si>
  <si>
    <t>basal body; cilia; nucleus</t>
  </si>
  <si>
    <t>BBS10</t>
  </si>
  <si>
    <t>Bardet-Biedl syndrome 10, MIM# 615987</t>
  </si>
  <si>
    <t>ENSG00000179941</t>
  </si>
  <si>
    <t>HGNC:26291</t>
  </si>
  <si>
    <t>CFAP74</t>
  </si>
  <si>
    <t>ciliary dyskinesia, primary, 49, without situs inversus MONDO:0859353</t>
  </si>
  <si>
    <t>ENSG00000142609</t>
  </si>
  <si>
    <t>HGNC:29368</t>
  </si>
  <si>
    <t>BBS12</t>
  </si>
  <si>
    <t>Bardet-Biedl syndrome 12, MIM# 615989</t>
  </si>
  <si>
    <t>ENSG00000181004</t>
  </si>
  <si>
    <t>HGNC:26648</t>
  </si>
  <si>
    <t>CFTR</t>
  </si>
  <si>
    <t>Cystic fibrosis;bronchiectasis</t>
  </si>
  <si>
    <t>BBS2</t>
  </si>
  <si>
    <t>ENSG00000001626</t>
  </si>
  <si>
    <t>HGNC:1884</t>
  </si>
  <si>
    <t>Bardet-Biedl syndrome 2, MIM# 615981;Retinitis pigmentosa 74, MIM# 616562</t>
  </si>
  <si>
    <t>ENSG00000125124</t>
  </si>
  <si>
    <t>HGNC:967</t>
  </si>
  <si>
    <t>cilia; endosome; microtubules</t>
  </si>
  <si>
    <t>Modifier: in one acrocallosal syndrome family with a homozygous KIF7 deletion, an additional BBS2 (p.N70S) variant was proposed as an oligogenic contributor to phenotypic variability (PMID 23142271).</t>
  </si>
  <si>
    <t>CLXN</t>
  </si>
  <si>
    <t>BBS4</t>
  </si>
  <si>
    <t>Ciliary dyskinesia, primary, 53, MIM# 620642</t>
  </si>
  <si>
    <t>ENSG00000034239</t>
  </si>
  <si>
    <t>Bardet-Biedl syndrome 4, MIM#615982;MONDO:0014433</t>
  </si>
  <si>
    <t>HGNC:25678</t>
  </si>
  <si>
    <t>ENSG00000140463</t>
  </si>
  <si>
    <t>HGNC:969</t>
  </si>
  <si>
    <t>Modifier: in one acrocallosal syndrome family with a homozygous KIF7 deletion, an additional BBS4 (p.M472V) variant was proposed as an oligogenic contributor to phenotypic variability (PMID 23142271).</t>
  </si>
  <si>
    <t>BBS5</t>
  </si>
  <si>
    <t>DAW1</t>
  </si>
  <si>
    <t>Bardet-Biedl syndrome 5, MIM#615983;MONDO:0014434</t>
  </si>
  <si>
    <t>ENSG00000163093</t>
  </si>
  <si>
    <t>HGNC:970</t>
  </si>
  <si>
    <t>Primary ciliary dyskinesia, with or without heterotaxy, MIM#620570</t>
  </si>
  <si>
    <t>ENSG00000123977</t>
  </si>
  <si>
    <t>HGNC:26383</t>
  </si>
  <si>
    <t>BBS7</t>
  </si>
  <si>
    <t>Primary Ciliary Dyskinesia; Visceral Heterotaxy / Situs Inversus</t>
  </si>
  <si>
    <t>Bardet-Biedl syndrome 7, MIM# 615984;MONDO:0014435</t>
  </si>
  <si>
    <t>ENSG00000138686</t>
  </si>
  <si>
    <t>HGNC:18758</t>
  </si>
  <si>
    <t>basal body; flagella</t>
  </si>
  <si>
    <t>Compound heterozygous DAW1 variants were reported in a single proband with heterotaxy spectrum and complex congenital heart disease without PCD, with functional support from Xenopus (PMID 42773161).</t>
  </si>
  <si>
    <t>basal body; centrosome; cilia; nucleus</t>
  </si>
  <si>
    <t>DNAAF1</t>
  </si>
  <si>
    <t>BBS9</t>
  </si>
  <si>
    <t>Ciliary dyskinesia, primary, 13, MIM# 613193</t>
  </si>
  <si>
    <t>Bardet-Biedl syndrome 9, MIM#615986;MONDO:0014437</t>
  </si>
  <si>
    <t>ENSG00000154099</t>
  </si>
  <si>
    <t>ENSG00000122507</t>
  </si>
  <si>
    <t>HGNC:30000</t>
  </si>
  <si>
    <t>HGNC:30539</t>
  </si>
  <si>
    <t>C2CD3</t>
  </si>
  <si>
    <t>Orofaciodigital syndrome XIV, MIM# 615948;MONDO:0014413</t>
  </si>
  <si>
    <t>ENSG00000168014</t>
  </si>
  <si>
    <t>HGNC:24564</t>
  </si>
  <si>
    <t>Expert list;Expert Review Green;Victorian Clinical Genetics Services</t>
  </si>
  <si>
    <t>DNAAF11</t>
  </si>
  <si>
    <t>Orofaciodigital Syndrome</t>
  </si>
  <si>
    <t>Ciliary dyskinesia, primary, 19, MIM# 614935</t>
  </si>
  <si>
    <t>ENSG00000129295</t>
  </si>
  <si>
    <t>basal body; centrosome</t>
  </si>
  <si>
    <t>HGNC:16725</t>
  </si>
  <si>
    <t>CBY1</t>
  </si>
  <si>
    <t>intellectual disability;cerebellar ataxia;molar tooth sign;polydactyly;Joubert syndrome</t>
  </si>
  <si>
    <t>ENSG00000100211</t>
  </si>
  <si>
    <t>HGNC:1307</t>
  </si>
  <si>
    <t>flagella; cilia; cytosol</t>
  </si>
  <si>
    <t>basal body; nucleus; transition zone</t>
  </si>
  <si>
    <t>DNAAF19</t>
  </si>
  <si>
    <t>CC2D2A</t>
  </si>
  <si>
    <t>Ciliary dyskinesia, primary, 17, MIM# 614679</t>
  </si>
  <si>
    <t>COACH syndrome 2, MIM# 619111;Joubert syndrome 9, 612285;Meckel syndrome 6, 612284</t>
  </si>
  <si>
    <t>ENSG00000048342</t>
  </si>
  <si>
    <t>ENSG00000167131</t>
  </si>
  <si>
    <t>HGNC:29253</t>
  </si>
  <si>
    <t>HGNC:32700</t>
  </si>
  <si>
    <t>COACH Syndrome; Joubert Syndrome; Meckel-Gruber Syndrome; Nephronophthisis</t>
  </si>
  <si>
    <t>CCDC32</t>
  </si>
  <si>
    <t>DNAAF2</t>
  </si>
  <si>
    <t>Cardiofacioneurodevelopmental syndrome (CFNDS), MIM#619123;Craniofacial, cardiac, laterality and neurodevelopmental anomalies</t>
  </si>
  <si>
    <t>ENSG00000128891</t>
  </si>
  <si>
    <t>ACTC1</t>
  </si>
  <si>
    <t>HGNC:28295</t>
  </si>
  <si>
    <t>Ciliary dyskinesia, primary, 10, MIM# 612518</t>
  </si>
  <si>
    <t>ENSG00000165506</t>
  </si>
  <si>
    <t>MONOALLELIC, autosomal or pseudoautosomal, NOT imprinted</t>
  </si>
  <si>
    <t>HGNC:20188</t>
  </si>
  <si>
    <t>Cardiomyopathy, dilated, 1R, MIM# 613424</t>
  </si>
  <si>
    <t>ENSG00000159251</t>
  </si>
  <si>
    <t>HGNC:143</t>
  </si>
  <si>
    <t>CDK20</t>
  </si>
  <si>
    <t>Lemire-Marshall-Drivas-Chitayat syndrome, MIM# 621676</t>
  </si>
  <si>
    <t>ENSG00000156345</t>
  </si>
  <si>
    <t>HGNC:21420</t>
  </si>
  <si>
    <t>DNAAF3</t>
  </si>
  <si>
    <t>ACTN2</t>
  </si>
  <si>
    <t>Ciliary dyskinesia, primary, 2, MIM# 606763</t>
  </si>
  <si>
    <t>ENSG00000167646</t>
  </si>
  <si>
    <t>MONOALLELIC, autosomal or pseudoautosomal, imprinted status unknown</t>
  </si>
  <si>
    <t>CDK20-related Ciliopathy with Midline Brain and Facial Anomalies</t>
  </si>
  <si>
    <t>HGNC:30492</t>
  </si>
  <si>
    <t>Cardiomyopathy, dilated, 1AA, with or without LVNC, MIM# 612158;ACTN2-related cardiac and skeletal myopathy, MONDO:0700349</t>
  </si>
  <si>
    <t>cilia; nucleus</t>
  </si>
  <si>
    <t>ENSG00000077522</t>
  </si>
  <si>
    <t>Amber</t>
  </si>
  <si>
    <t>HGNC:164</t>
  </si>
  <si>
    <t>CENPF</t>
  </si>
  <si>
    <t>Expert Review;Expert Review Green</t>
  </si>
  <si>
    <t>Stromme syndrome (MIM#243605)</t>
  </si>
  <si>
    <t>ENSG00000117724</t>
  </si>
  <si>
    <t>HGNC:1857</t>
  </si>
  <si>
    <t>cilia associated gene</t>
  </si>
  <si>
    <t>cilia; cytosol; transition zone</t>
  </si>
  <si>
    <t>DNAAF4</t>
  </si>
  <si>
    <t>Stromme Syndrome</t>
  </si>
  <si>
    <t>basal body; cilia; cytosol; nucleus</t>
  </si>
  <si>
    <t>Ciliary dyskinesia, primary, 25, MIM# 615482</t>
  </si>
  <si>
    <t>ENSG00000256061</t>
  </si>
  <si>
    <t>CEP104</t>
  </si>
  <si>
    <t>HGNC:21493</t>
  </si>
  <si>
    <t>Joubert syndrome 25, MIM# 616781;MONDO:0014770</t>
  </si>
  <si>
    <t>ENSG00000116198</t>
  </si>
  <si>
    <t>HGNC:24866</t>
  </si>
  <si>
    <t>Cardiomyopathy, MONDO:0004994</t>
  </si>
  <si>
    <t>Intellectual Developmental Disorder; Joubert Syndrome</t>
  </si>
  <si>
    <t>Expert Review;Expert Review Green;NHS GMS</t>
  </si>
  <si>
    <t>basal body; centrosome; cilia; ciliary tip</t>
  </si>
  <si>
    <t>DNAAF5</t>
  </si>
  <si>
    <t>CEP120</t>
  </si>
  <si>
    <t>Ciliary dyskinesia, primary, 18, MIM# 614874</t>
  </si>
  <si>
    <t>Joubert syndrome 31, MIM# 617761;Short-rib thoracic dysplasia 13 with or without polydactyly, MIM# 616300</t>
  </si>
  <si>
    <t>ENSG00000164818</t>
  </si>
  <si>
    <t>ENSG00000168944</t>
  </si>
  <si>
    <t>HGNC:26013</t>
  </si>
  <si>
    <t>HGNC:26690</t>
  </si>
  <si>
    <t>ALPK3</t>
  </si>
  <si>
    <t>Cardiomyopathy, familial hypertrophic 27, MIM# 618052</t>
  </si>
  <si>
    <t>ENSG00000136383</t>
  </si>
  <si>
    <t>HGNC:17574</t>
  </si>
  <si>
    <t>Hydrolethalus Syndrome; Joubert Syndrome; Short-Rib Thoracic Dysplasia</t>
  </si>
  <si>
    <t>DNAAF6</t>
  </si>
  <si>
    <t>CEP164</t>
  </si>
  <si>
    <t>X-LINKED: hemizygous mutation in males, biallelic mutations in females</t>
  </si>
  <si>
    <t>Bardet-Biedl syndrome;Nephronophthisis 15, MIM# 614845;Oro-facio-digital syndrome</t>
  </si>
  <si>
    <t>BAG3</t>
  </si>
  <si>
    <t>Ciliary dyskinesia, primary, 36, X-linked (MIM#300991)</t>
  </si>
  <si>
    <t>ENSG00000110274</t>
  </si>
  <si>
    <t>ENSG00000080572</t>
  </si>
  <si>
    <t>HGNC:29182</t>
  </si>
  <si>
    <t>HGNC:28570</t>
  </si>
  <si>
    <t>Cardiomyopathy, dilated, 1HH, MIM# 613881;MONDO:0013479</t>
  </si>
  <si>
    <t>ENSG00000151929</t>
  </si>
  <si>
    <t>HGNC:939</t>
  </si>
  <si>
    <t>Joubert Syndrome; Nephronophthisis; Senior-Løken Syndrome</t>
  </si>
  <si>
    <t>basal body; centrosome; cytosol; nucleus</t>
  </si>
  <si>
    <t>basal body; cytosol; transition zone</t>
  </si>
  <si>
    <t>CEP290</t>
  </si>
  <si>
    <t>DNAH11</t>
  </si>
  <si>
    <t>BAG5</t>
  </si>
  <si>
    <t>Bardet-Biedl syndrome 14, MIM# 615991;Joubert syndrome 5 610188;Leber congenital amaurosis 10, MIM# 611755;Meckel syndrome 4, MIM# 611134;Senior-Loken syndrome 6, MIM# 610189</t>
  </si>
  <si>
    <t>Cardiomyopathy, dilated, 2F, MIM#	619747</t>
  </si>
  <si>
    <t>ENSG00000198707</t>
  </si>
  <si>
    <t>Ciliary dyskinesia, primary, 7, with or without situs inversus, MIM#611884</t>
  </si>
  <si>
    <t>ENSG00000166170</t>
  </si>
  <si>
    <t>HGNC:29021</t>
  </si>
  <si>
    <t>ENSG00000105877</t>
  </si>
  <si>
    <t>HGNC:941</t>
  </si>
  <si>
    <t>HGNC:2942</t>
  </si>
  <si>
    <t>Bardet-Biedl Syndrome; COACH Syndrome; Joubert Syndrome; Leber Congenital Amaurosis; Meckel-Gruber Syndrome; Nephronophthisis; Senior-Løken Syndrome</t>
  </si>
  <si>
    <t>C10orf71</t>
  </si>
  <si>
    <t>CEP41</t>
  </si>
  <si>
    <t>cilia; flagella; microtubules</t>
  </si>
  <si>
    <t>Joubert syndrome 15, MIM# 614464</t>
  </si>
  <si>
    <t>Cardiomyopathy, dilated, 1QQ, MIM# 621251</t>
  </si>
  <si>
    <t>ENSG00000106477</t>
  </si>
  <si>
    <t>DNAH17</t>
  </si>
  <si>
    <t>HGNC:12370</t>
  </si>
  <si>
    <t>ENSG00000177354</t>
  </si>
  <si>
    <t>HGNC:26973</t>
  </si>
  <si>
    <t>Expert Review Green;Other</t>
  </si>
  <si>
    <t>spermatogenic failure 39 (MONDO:0032845)</t>
  </si>
  <si>
    <t>Autism Spectrum Disorder; Joubert Syndrome</t>
  </si>
  <si>
    <t>ENSG00000187775</t>
  </si>
  <si>
    <t>Secondary Diseases; Primary Ciliopathies</t>
  </si>
  <si>
    <t>basal body; centrosome; cytosol</t>
  </si>
  <si>
    <t>HGNC:2946</t>
  </si>
  <si>
    <t>CEP76</t>
  </si>
  <si>
    <t>complex neurodevelopmental disorder MONDO:0100038;Joubert syndrome;Bardet-Biedl syndrome;retinitis pigmentosa</t>
  </si>
  <si>
    <t>ENSG00000101624</t>
  </si>
  <si>
    <t>CAP2</t>
  </si>
  <si>
    <t>HGNC:25727</t>
  </si>
  <si>
    <t>Cardiomyopathy, dilated, 2I (MIM#620462)</t>
  </si>
  <si>
    <t>Male Infertility</t>
  </si>
  <si>
    <t>ENSG00000112186</t>
  </si>
  <si>
    <t>HGNC:20039</t>
  </si>
  <si>
    <t>centrosome; cilia; cytosol</t>
  </si>
  <si>
    <t>Biallelic DNAH17 variants were reported in five men with isolated asthenozoospermia and sperm ODA loss, with loss of DNAH17 protein shown in two unrelated individuals (PMID 31178125). A homozygous missense variant cosegregated with asthenozoospermia in three brothers of a consanguineous family and was recapitulated in knock-in mice (PMID 31658987).</t>
  </si>
  <si>
    <t>DNAH5</t>
  </si>
  <si>
    <t>CEP83</t>
  </si>
  <si>
    <t>DES</t>
  </si>
  <si>
    <t>Nephronophthisis 18, MIM# 615862;MONDO:0014374;Retinal dystrophy;ID</t>
  </si>
  <si>
    <t>Ciliary dyskinesia, primary, 3, with or without situs inversus (MIM #608644)</t>
  </si>
  <si>
    <t>ENSG00000173588</t>
  </si>
  <si>
    <t>HGNC:17966</t>
  </si>
  <si>
    <t>ENSG00000039139</t>
  </si>
  <si>
    <t>Cardiomyopathy, dilated, 1I, MIM# 604765;MONDO:0011482</t>
  </si>
  <si>
    <t>HGNC:2950</t>
  </si>
  <si>
    <t>ENSG00000175084</t>
  </si>
  <si>
    <t>HGNC:2770</t>
  </si>
  <si>
    <t>ClinGen;Expert Review Green</t>
  </si>
  <si>
    <t>Joubert Syndrome; Nephronophthisis; Orofaciodigital Syndrome; Retinal Dystrophy/Degeneration</t>
  </si>
  <si>
    <t>Mucociliary Clearance Disorder; Primary Ciliary Dyskinesia; Visceral Heterotaxy / Situs Inversus</t>
  </si>
  <si>
    <t>DMD</t>
  </si>
  <si>
    <t>CFAP410</t>
  </si>
  <si>
    <t>X-LINKED: hemizygous mutation in males, monoallelic mutations in females may cause disease (may be less severe, later onset than males)</t>
  </si>
  <si>
    <t>DNAH7</t>
  </si>
  <si>
    <t>Spondylometaphyseal dysplasia, axial, MIM# 602271;Retinal dystrophy with macular staphyloma, MIM# 617547</t>
  </si>
  <si>
    <t>ENSG00000160226</t>
  </si>
  <si>
    <t>Cardiomyopathy, dilated, 3B (MIM#302045)</t>
  </si>
  <si>
    <t>HGNC:1260</t>
  </si>
  <si>
    <t>Primary ciliary dyskinesia, MONDO:0016575, DNAH7-related</t>
  </si>
  <si>
    <t>ENSG00000118997</t>
  </si>
  <si>
    <t>ENSG00000198947</t>
  </si>
  <si>
    <t>HGNC:18661</t>
  </si>
  <si>
    <t>HGNC:2928</t>
  </si>
  <si>
    <t>Cone-Rod Dystrophy; Retinal Dystrophy/Degeneration; Skeletal Ciliopathy; Spondylometaphyseal Dysplasia</t>
  </si>
  <si>
    <t>Tissue-restricted Ciliopathies</t>
  </si>
  <si>
    <t>CFAP418</t>
  </si>
  <si>
    <t>DSP</t>
  </si>
  <si>
    <t>BOTH monoallelic and biallelic, autosomal or pseudoautosomal</t>
  </si>
  <si>
    <t>Bardet-Biedl syndrome 21, MIM#617406;Retinitis pigmentosa 64, MIM#614500</t>
  </si>
  <si>
    <t>ENSG00000156172</t>
  </si>
  <si>
    <t>Dilated cardiomyopathy with woolly hair, keratoderma, and tooth agenesis, MIM# 615821;Cardiomyopathy, dilated, with woolly hair and keratoderma, MIM# 605676</t>
  </si>
  <si>
    <t>HGNC:27232</t>
  </si>
  <si>
    <t>ENSG00000096696</t>
  </si>
  <si>
    <t>HGNC:3052</t>
  </si>
  <si>
    <t>Ensembl ID via HGNC current symbol</t>
  </si>
  <si>
    <t>Bardet-Biedl Syndrome; Cone-Rod Dystrophy; Retinal Dystrophy/Degeneration</t>
  </si>
  <si>
    <t>basal body; Cell Junctions</t>
  </si>
  <si>
    <t>CILK1</t>
  </si>
  <si>
    <t>EMD</t>
  </si>
  <si>
    <t>Endocrine-cerebroosteodysplasia (MIM#612651);Cranioectodermal dysplasia 6, MIM# 621337</t>
  </si>
  <si>
    <t>ENSG00000112144</t>
  </si>
  <si>
    <t>Emery-Dreifuss muscular dystrophy 1, X-linked MIM#310300</t>
  </si>
  <si>
    <t>HGNC:21219</t>
  </si>
  <si>
    <t>ENSG00000102119</t>
  </si>
  <si>
    <t>HGNC:3331</t>
  </si>
  <si>
    <t>cilia; flagella</t>
  </si>
  <si>
    <t>Cranioectodermal Dysplasia (Sensenbrenner); Endocrine-Cerebro-Osteodysplasia Syndrome; Juvenile Myoclonic Epilepsy; Short-Rib Thoracic Dysplasia</t>
  </si>
  <si>
    <t>DNAH9</t>
  </si>
  <si>
    <t>cilia tip; primary cilium; basal body; intraflagellar transport</t>
  </si>
  <si>
    <t>FKRP</t>
  </si>
  <si>
    <t>Ciliary dyskinesia, primary, 40, MIM# 618300</t>
  </si>
  <si>
    <t>CPLANE1</t>
  </si>
  <si>
    <t>ENSG00000007174</t>
  </si>
  <si>
    <t>Muscular dystrophy-dystroglycanopathy (limb-girdle), type C, 5, 607155</t>
  </si>
  <si>
    <t>HGNC:2953</t>
  </si>
  <si>
    <t>ENSG00000181027</t>
  </si>
  <si>
    <t>Joubert syndrome 17, MIM# 614615</t>
  </si>
  <si>
    <t>Red</t>
  </si>
  <si>
    <t>HGNC:17997</t>
  </si>
  <si>
    <t>ENSG00000197603</t>
  </si>
  <si>
    <t>HGNC:25801</t>
  </si>
  <si>
    <t>Biliary Atresia; Joubert Syndrome; Orofaciodigital Syndrome</t>
  </si>
  <si>
    <t>FLNC</t>
  </si>
  <si>
    <t>transition zone</t>
  </si>
  <si>
    <t>Dilated cardiomyopathy</t>
  </si>
  <si>
    <t>ENSG00000128591</t>
  </si>
  <si>
    <t>CPLANE2</t>
  </si>
  <si>
    <t>HGNC:3756</t>
  </si>
  <si>
    <t>Ciliopathy, MONDO:0005308, CPLANE2-related</t>
  </si>
  <si>
    <t>ENSG00000132881</t>
  </si>
  <si>
    <t>HGNC:28127</t>
  </si>
  <si>
    <t>DNAI1</t>
  </si>
  <si>
    <t>Biliary Atresia; Orofaciodigital Syndrome</t>
  </si>
  <si>
    <t>JPH2</t>
  </si>
  <si>
    <t>basal body; transition zone</t>
  </si>
  <si>
    <t>BOTH monoallelic and biallelic (but BIALLELIC mutations cause a more SEVERE disease form), autosomal or pseudoautosomal</t>
  </si>
  <si>
    <t>Ciliary dyskinesia, primary, 1, with or without situs inversus, MIM# 244400</t>
  </si>
  <si>
    <t>Cardiomyopathy, dilated, 2E, MIM# 619492</t>
  </si>
  <si>
    <t>ENSG00000122735</t>
  </si>
  <si>
    <t>HGNC:2954</t>
  </si>
  <si>
    <t>CRB2</t>
  </si>
  <si>
    <t>ENSG00000149596</t>
  </si>
  <si>
    <t>Ventriculomegaly with cystic kidney disease, MIM# 219730</t>
  </si>
  <si>
    <t>HGNC:14202</t>
  </si>
  <si>
    <t>ENSG00000148204</t>
  </si>
  <si>
    <t>HGNC:18688</t>
  </si>
  <si>
    <t>LAMP2</t>
  </si>
  <si>
    <t>DNAI2</t>
  </si>
  <si>
    <t>CSPP1</t>
  </si>
  <si>
    <t>Danon disease, MIM#300257</t>
  </si>
  <si>
    <t>ENSG00000005893</t>
  </si>
  <si>
    <t>HGNC:6501</t>
  </si>
  <si>
    <t>Ciliary dyskinesia, primary, 9, with or without situs inversus, MIM# 612444</t>
  </si>
  <si>
    <t>Joubert syndrome 21, MIM# 615636;MONDO:0014288</t>
  </si>
  <si>
    <t>ENSG00000171595</t>
  </si>
  <si>
    <t>ENSG00000104218</t>
  </si>
  <si>
    <t>HGNC:26193</t>
  </si>
  <si>
    <t>HGNC:18744</t>
  </si>
  <si>
    <t>LMNA</t>
  </si>
  <si>
    <t>basal body; centrosome; cilia; microtubules; transition zone</t>
  </si>
  <si>
    <t>Cardiomyopathy, dilated, 1A, MIM# 115200</t>
  </si>
  <si>
    <t>ENSG00000160789</t>
  </si>
  <si>
    <t>HGNC:6636</t>
  </si>
  <si>
    <t>DCDC2</t>
  </si>
  <si>
    <t>DNAJB13</t>
  </si>
  <si>
    <t>Nephronophthisis 19, MIM# 616217</t>
  </si>
  <si>
    <t>ENSG00000146038</t>
  </si>
  <si>
    <t>HGNC:18141</t>
  </si>
  <si>
    <t>Ciliary dyskinesia, primary, 34	617091</t>
  </si>
  <si>
    <t>ENSG00000187726</t>
  </si>
  <si>
    <t>HGNC:30718</t>
  </si>
  <si>
    <t>MAP3K7</t>
  </si>
  <si>
    <t>Neonatal Sclerosing Cholangitis; Nephronophthisis</t>
  </si>
  <si>
    <t>Dilated cardiomyopathy;Cardiospondylocarpofacial syndrome (CSCF) MIM# 157800</t>
  </si>
  <si>
    <t>ENSG00000135341</t>
  </si>
  <si>
    <t>HGNC:6859</t>
  </si>
  <si>
    <t>DDX59</t>
  </si>
  <si>
    <t>Orofaciodigital syndrome V (MIM#174300)</t>
  </si>
  <si>
    <t>DRC1</t>
  </si>
  <si>
    <t>cilia; basal body</t>
  </si>
  <si>
    <t>ENSG00000118197</t>
  </si>
  <si>
    <t>HGNC:25360</t>
  </si>
  <si>
    <t>Expert Review;Expert Review Green;Victorian Clinical Genetics Services</t>
  </si>
  <si>
    <t>MYH7</t>
  </si>
  <si>
    <t>Ciliary dyskinesia, primary, 21, MIM# 615294</t>
  </si>
  <si>
    <t>ENSG00000157856</t>
  </si>
  <si>
    <t>HGNC:24245</t>
  </si>
  <si>
    <t>Cardiomyopathy, dilated, 1S, MIM# 613426;MONDO:0013262</t>
  </si>
  <si>
    <t>ENSG00000092054</t>
  </si>
  <si>
    <t>HGNC:7577</t>
  </si>
  <si>
    <t>Homozygous DDX59 variants were reported in 2 consanguineous families with OFD (PMID 23972372) and in 2 further unrelated consanguineous families (PMID 28711741).</t>
  </si>
  <si>
    <t>DHCR7</t>
  </si>
  <si>
    <t>Smith-Lemli-Opitz syndrome (MIM#270400)</t>
  </si>
  <si>
    <t>MYZAP</t>
  </si>
  <si>
    <t>ENSG00000172893</t>
  </si>
  <si>
    <t>DRC2</t>
  </si>
  <si>
    <t>HGNC:2860</t>
  </si>
  <si>
    <t>Expert list;Expert Review;Expert Review Green</t>
  </si>
  <si>
    <t>Cardiomyopathy, dilated, 2K, MIM#	620894</t>
  </si>
  <si>
    <t>ENSG00000263155</t>
  </si>
  <si>
    <t>Ciliary dyskinesia, primary, 27, MIM# 615504</t>
  </si>
  <si>
    <t>HGNC:43444</t>
  </si>
  <si>
    <t>ENSG00000139537</t>
  </si>
  <si>
    <t>HGNC:29937</t>
  </si>
  <si>
    <t>Holoprosencephaly; Retinal Dystrophy/Degeneration; Smith-Lemli-Opitz Syndrome</t>
  </si>
  <si>
    <t>Tissue-restricted Ciliopathies; Secondary Diseases</t>
  </si>
  <si>
    <t>NEXN</t>
  </si>
  <si>
    <t>Cardiomyopathy, dilated, 1CC, MIM# 613122</t>
  </si>
  <si>
    <t>ENSG00000162614</t>
  </si>
  <si>
    <t>HGNC:29557</t>
  </si>
  <si>
    <t>DRC4</t>
  </si>
  <si>
    <t>Ciliary dyskinesia, primary, 33, mIM# 616726</t>
  </si>
  <si>
    <t>All</t>
  </si>
  <si>
    <t>ENSG00000141013</t>
  </si>
  <si>
    <t>HGNC:4166</t>
  </si>
  <si>
    <t>NKX2-5</t>
  </si>
  <si>
    <t>DLG5</t>
  </si>
  <si>
    <t>ENSG00000183072</t>
  </si>
  <si>
    <t>HGNC:2488</t>
  </si>
  <si>
    <t>Yuksel-Vogel-Bauer syndrome, MIM#620703</t>
  </si>
  <si>
    <t>ENSG00000151208</t>
  </si>
  <si>
    <t>HGNC:2904</t>
  </si>
  <si>
    <t>FOXJ1</t>
  </si>
  <si>
    <t>cilia associated gene; nucleus</t>
  </si>
  <si>
    <t>Ciliary dyskinesia, primary, 43, MIM#	618699;hydrocephalus;chronic destructive airway disease;randomization of left/right body asymmetry</t>
  </si>
  <si>
    <t>Yuksel-Vogel-Bauer Syndrome</t>
  </si>
  <si>
    <t>ENSG00000129654</t>
  </si>
  <si>
    <t>PKP2</t>
  </si>
  <si>
    <t>HGNC:3816</t>
  </si>
  <si>
    <t>Arrhythmogenic right ventricular dysplasia 9 (MIM#609040);Dilated cardiomyopathy, MONDO:0005021, PKP2-related;hypoplastic left heart syndrome;hydrops fetalis;ventricular septal defect;left ventricular non-compaction</t>
  </si>
  <si>
    <t>ENSG00000057294</t>
  </si>
  <si>
    <t>DYNC2H1</t>
  </si>
  <si>
    <t>HGNC:9024</t>
  </si>
  <si>
    <t>Hydrocephalus; Primary Ciliary Dyskinesia</t>
  </si>
  <si>
    <t>Short-rib thoracic dysplasia 3 with or without polydactyly, MIM# 613091;MONDO:0013127</t>
  </si>
  <si>
    <t>Primary Ciliopathies; Motile Ciliopathies</t>
  </si>
  <si>
    <t>ENSG00000187240</t>
  </si>
  <si>
    <t>HGNC:2962</t>
  </si>
  <si>
    <t>basal body; Nucleoplasm; Cell Junctions</t>
  </si>
  <si>
    <t>GAS2L2</t>
  </si>
  <si>
    <t>PLN</t>
  </si>
  <si>
    <t>Cranioectodermal Dysplasia (Sensenbrenner); Ellis-van Creveld Syndrome; Short-Rib Thoracic Dysplasia; Skeletal Ciliopathy</t>
  </si>
  <si>
    <t>Ciliary dyskinesia, primary, 41 (MIM # 618449)</t>
  </si>
  <si>
    <t>ENSG00000270765</t>
  </si>
  <si>
    <t>HGNC:24846</t>
  </si>
  <si>
    <t>Cardiomyopathy, dilated, 1P, MIM# 609909</t>
  </si>
  <si>
    <t>ENSG00000198523</t>
  </si>
  <si>
    <t>DYNC2I1</t>
  </si>
  <si>
    <t>HGNC:9080</t>
  </si>
  <si>
    <t>Short-rib thoracic dysplasia 8 with or without polydactyly, MIM# 615503;Retinitis pigmentosa</t>
  </si>
  <si>
    <t>ENSG00000126870</t>
  </si>
  <si>
    <t>HGNC:21862</t>
  </si>
  <si>
    <t>basal body; cilia; microtubules</t>
  </si>
  <si>
    <t>PRDM16</t>
  </si>
  <si>
    <t>Retinal Dystrophy/Degeneration; Short-Rib Thoracic Dysplasia</t>
  </si>
  <si>
    <t>HYDIN</t>
  </si>
  <si>
    <t>Cardiomyopathy, dilated, 1LL MIM#615373;Left ventricular noncompaction 8 MIM#615373</t>
  </si>
  <si>
    <t>ENSG00000142611</t>
  </si>
  <si>
    <t>Ciliary dyskinesia, primary, 5 (MIM#608647)</t>
  </si>
  <si>
    <t>HGNC:14000</t>
  </si>
  <si>
    <t>ENSG00000157423</t>
  </si>
  <si>
    <t>DYNC2I2</t>
  </si>
  <si>
    <t>HGNC:19368</t>
  </si>
  <si>
    <t>Short-rib thoracic dysplasia 11 with or without polydactyly, MIM# 615633;Retinitis pigmentosa</t>
  </si>
  <si>
    <t>ENSG00000119333</t>
  </si>
  <si>
    <t>HGNC:28296</t>
  </si>
  <si>
    <t>RBM20</t>
  </si>
  <si>
    <t>Cardiomyopathy, dilated, 1DD 613172 AD</t>
  </si>
  <si>
    <t>Cone-Rod Dystrophy; Short-Rib Thoracic Dysplasia</t>
  </si>
  <si>
    <t>ENSG00000203867</t>
  </si>
  <si>
    <t>HGNC:27424</t>
  </si>
  <si>
    <t>LRRC56</t>
  </si>
  <si>
    <t>Ciliary dyskinesia, primary, 39	618254</t>
  </si>
  <si>
    <t>DYNC2LI1</t>
  </si>
  <si>
    <t>ENSG00000161328</t>
  </si>
  <si>
    <t>HGNC:25430</t>
  </si>
  <si>
    <t>Short-rib thoracic dysplasia 15 with polydactyly (MIM#617088)</t>
  </si>
  <si>
    <t>ENSG00000138036</t>
  </si>
  <si>
    <t>SCN5A</t>
  </si>
  <si>
    <t>HGNC:24595</t>
  </si>
  <si>
    <t>Cardiomyopathy, dilated, 1E, MIM# 601154;Multifocal ectopic Purkinje-related premature contractions (MEPPC) syndrome;SCN5A-related cardiac rhythm disorder MONDO:1010181</t>
  </si>
  <si>
    <t>Hydrocephalus; Male Infertility; Mucociliary Clearance Disorder; Primary Ciliary Dyskinesia; Visceral Heterotaxy / Situs Inversus</t>
  </si>
  <si>
    <t>ENSG00000183873</t>
  </si>
  <si>
    <t>HGNC:10593</t>
  </si>
  <si>
    <t>basal body; cilia; lysosomes</t>
  </si>
  <si>
    <t>Ellis-van Creveld Syndrome; Short-Rib Thoracic Dysplasia; Skeletal Ciliopathy</t>
  </si>
  <si>
    <t>MCIDAS</t>
  </si>
  <si>
    <t>basal body; cilia; cytosol</t>
  </si>
  <si>
    <t>Ciliary dyskinesia, primary, 42 (MIM#618695)</t>
  </si>
  <si>
    <t>ENSG00000234602</t>
  </si>
  <si>
    <t>DYNLT2B</t>
  </si>
  <si>
    <t>HGNC:40050</t>
  </si>
  <si>
    <t>TBX20</t>
  </si>
  <si>
    <t>Short-rib thoracic dysplasia 17 with or without polydactyly, MIM# 617405</t>
  </si>
  <si>
    <t>ENSG00000213123</t>
  </si>
  <si>
    <t>HGNC:28482</t>
  </si>
  <si>
    <t>Dilated cardiomyopathy, MONDO:0005021, TBX20-related</t>
  </si>
  <si>
    <t>ENSG00000164532</t>
  </si>
  <si>
    <t>HGNC:11598</t>
  </si>
  <si>
    <t>Short-Rib Thoracic Dysplasia</t>
  </si>
  <si>
    <t>NEK10</t>
  </si>
  <si>
    <t>Ciliary dyskinesia, primary, 44, MIM# 618781;Bronchiectasis</t>
  </si>
  <si>
    <t>ENSG00000163491</t>
  </si>
  <si>
    <t>TBX5</t>
  </si>
  <si>
    <t>EVC</t>
  </si>
  <si>
    <t>HGNC:18592</t>
  </si>
  <si>
    <t>Expert Review Green;NHS GMS</t>
  </si>
  <si>
    <t>Ellis-van Creveld syndrome, MIM# 225500</t>
  </si>
  <si>
    <t>Holt-Oram syndrome, MIM#	142900;Dilated cardiomyopathy</t>
  </si>
  <si>
    <t>ENSG00000072840</t>
  </si>
  <si>
    <t>ENSG00000089225</t>
  </si>
  <si>
    <t>HGNC:3497</t>
  </si>
  <si>
    <t>HGNC:11604</t>
  </si>
  <si>
    <t>basal body; mitochondria</t>
  </si>
  <si>
    <t>Ellis-van Creveld Syndrome; Short-Rib Thoracic Dysplasia; Skeletal Ciliopathy; Weyers Acrofacial Dysostosis</t>
  </si>
  <si>
    <t>NME5</t>
  </si>
  <si>
    <t>TNNC1</t>
  </si>
  <si>
    <t>Ciliary Dyskinesia (panel 82, v2.0)</t>
  </si>
  <si>
    <t>Ciliary dyskinesia, primary, 48, without situs inversus MIM#620032</t>
  </si>
  <si>
    <t>ENSG00000112981</t>
  </si>
  <si>
    <t>Cardiomyopathy, dilated, 1Z, MIM# 611879;MONDO:0012745</t>
  </si>
  <si>
    <t>HGNC:7853</t>
  </si>
  <si>
    <t>ENSG00000114854</t>
  </si>
  <si>
    <t>EVC2</t>
  </si>
  <si>
    <t>HGNC:11943</t>
  </si>
  <si>
    <t>Ellis-van Creveld syndrome (MIM#225500)</t>
  </si>
  <si>
    <t>ENSG00000173040</t>
  </si>
  <si>
    <t>HGNC:19747</t>
  </si>
  <si>
    <t>TNNI3</t>
  </si>
  <si>
    <t>ODAD1</t>
  </si>
  <si>
    <t>Cardiomyopathy, dilated, 1FF, MIM#613286</t>
  </si>
  <si>
    <t>Ciliary dyskinesia, primary, 20, MIM# 615067</t>
  </si>
  <si>
    <t>ENSG00000129991</t>
  </si>
  <si>
    <t>EXOC3L2</t>
  </si>
  <si>
    <t>ENSG00000105479</t>
  </si>
  <si>
    <t>HGNC:11947</t>
  </si>
  <si>
    <t>HGNC:26560</t>
  </si>
  <si>
    <t>Brain malformation renal syndrome, MIM# 620943</t>
  </si>
  <si>
    <t>ENSG00000283632</t>
  </si>
  <si>
    <t>HGNC:30162</t>
  </si>
  <si>
    <t>Dandy-Walker Malformation</t>
  </si>
  <si>
    <t>TNNI3K</t>
  </si>
  <si>
    <t>flagella; golgi apparatus; mid piece; nucleoli; nucleoplasm; vesicles</t>
  </si>
  <si>
    <t>Homozygous EXOC3L2 variants were reported in 4 individuals from 2 unrelated families with Dandy-Walker malformation or hindbrain anomalies, renal dysplasia and bone marrow failure (PMID 30327448).</t>
  </si>
  <si>
    <t>ODAD2</t>
  </si>
  <si>
    <t>Cardiac conduction disease with or without dilated cardiomyopathy, MIM#	616117</t>
  </si>
  <si>
    <t>ENSG00000116783</t>
  </si>
  <si>
    <t>FAM149B1</t>
  </si>
  <si>
    <t>HGNC:19661</t>
  </si>
  <si>
    <t>Ciliary dyskinesia, primary, 23, MIM# 615451</t>
  </si>
  <si>
    <t>ENSG00000169126</t>
  </si>
  <si>
    <t>Joubert;Ciliopathy</t>
  </si>
  <si>
    <t>HGNC:25583</t>
  </si>
  <si>
    <t>ENSG00000138286</t>
  </si>
  <si>
    <t>HGNC:29162</t>
  </si>
  <si>
    <t>Joubert Syndrome; Skeletal Ciliopathy</t>
  </si>
  <si>
    <t>FUZ</t>
  </si>
  <si>
    <t>ODAD3</t>
  </si>
  <si>
    <t>Ciliopathy_MONDO_0005308, FUZ-related;skeletal ciliopathy</t>
  </si>
  <si>
    <t>ENSG00000010361</t>
  </si>
  <si>
    <t>HGNC:26219</t>
  </si>
  <si>
    <t>Ciliary dyskinesia, primary, 30, MIM# 616037</t>
  </si>
  <si>
    <t>ENSG00000198003</t>
  </si>
  <si>
    <t>HGNC:28303</t>
  </si>
  <si>
    <t>Joubert Syndrome; Orofaciodigital Syndrome; Short-Rib Thoracic Dysplasia</t>
  </si>
  <si>
    <t>basal body; lysosomes; cilia</t>
  </si>
  <si>
    <t>GLI3</t>
  </si>
  <si>
    <t>cilia; axoneme; motile cilium; outer dynein arm docking complex</t>
  </si>
  <si>
    <t>Greig cephalopolysyndactyly syndrome (MIM#175700);Pallister-Hall syndrome (MIM#146510)</t>
  </si>
  <si>
    <t>ENSG00000106571</t>
  </si>
  <si>
    <t>ODAD4</t>
  </si>
  <si>
    <t>HGNC:4319</t>
  </si>
  <si>
    <t>Ciliary dyskinesia, primary, 35 (MIM#617092)</t>
  </si>
  <si>
    <t>ENSG00000204815</t>
  </si>
  <si>
    <t>HGNC:25280</t>
  </si>
  <si>
    <t>Ellis-van Creveld Syndrome; Greig Cephalopolysyndactyly Syndrome; Pallister-Hall Syndrome; Postaxial Polydactyly</t>
  </si>
  <si>
    <t>cilia; cytosol; nucleus</t>
  </si>
  <si>
    <t>GLIS2</t>
  </si>
  <si>
    <t>basal body; cilia; flagella; transition zone</t>
  </si>
  <si>
    <t>Nephronophthisis 7, OMIM#611498;MONDO:0012680</t>
  </si>
  <si>
    <t>ENSG00000126603</t>
  </si>
  <si>
    <t>HGNC:29450</t>
  </si>
  <si>
    <t>OFD1</t>
  </si>
  <si>
    <t>Joubert syndrome 10, MIM 300804;Orofaciodigital syndrome I, MIM 311200;Simpson-Golabi-Behmel syndrome, type 2, MIM 300209;Primary ciliary dyskinesia</t>
  </si>
  <si>
    <t>Nephronophthisis</t>
  </si>
  <si>
    <t>ENSG00000046651</t>
  </si>
  <si>
    <t>HGNC:2567</t>
  </si>
  <si>
    <t>GRK2</t>
  </si>
  <si>
    <t>Jeune asphyxiating thoracic dystrophy (ATD), MONDO:0018770</t>
  </si>
  <si>
    <t>ENSG00000173020</t>
  </si>
  <si>
    <t>HGNC:289</t>
  </si>
  <si>
    <t>Joubert Syndrome; Orofaciodigital Syndrome; Primary Ciliary Dyskinesia; Retinal Dystrophy/Degeneration; Simpson-Golabi-Behmel Syndrome</t>
  </si>
  <si>
    <t>Primary Ciliopathies; Motile Ciliopathies; Tissue-restricted Ciliopathies</t>
  </si>
  <si>
    <t>centrosome; cilia; cytosol; microtubules; nucleus</t>
  </si>
  <si>
    <t>Short-Rib Thoracic Dysplasia; Skeletal Ciliopathy</t>
  </si>
  <si>
    <t>RPGR</t>
  </si>
  <si>
    <t>HNF1B</t>
  </si>
  <si>
    <t>Renal cysts and diabetes syndrome, MIM# 137920</t>
  </si>
  <si>
    <t>Retinitis pigmentosa, X-linked, and sinorespiratory infections, with or without deafness, MIM# 300455</t>
  </si>
  <si>
    <t>ENSG00000275410</t>
  </si>
  <si>
    <t>ENSG00000156313</t>
  </si>
  <si>
    <t>HGNC:11630</t>
  </si>
  <si>
    <t>HGNC:10295</t>
  </si>
  <si>
    <t>Autosomal Recessive Polycystic Kidney Disease</t>
  </si>
  <si>
    <t>Cone-Rod Dystrophy; Retinal Dystrophy/Degeneration</t>
  </si>
  <si>
    <t>A de novo heterozygous HNF1B p.P457L variant was reported in one fetus with infantile polycystic kidney disease (PMID 35076921), and a heterozygous whole-gene deletion produced massively enlarged polycystic kidneys mimicking ADPKD in monozygotic twins (PMID 18037103). HNF1B directly regulates Pkhd1, Pkd2 and Umod, and renal inactivation causes PKD in mice (PMID 15029248).</t>
  </si>
  <si>
    <t>RSPH1</t>
  </si>
  <si>
    <t>HYLS1</t>
  </si>
  <si>
    <t>Ciliary dyskinesia, primary, 24 (MIM#615481)</t>
  </si>
  <si>
    <t>ENSG00000160188</t>
  </si>
  <si>
    <t>HGNC:12371</t>
  </si>
  <si>
    <t>Hydrolethalus syndrome (MIM#236680)</t>
  </si>
  <si>
    <t>ENSG00000198331</t>
  </si>
  <si>
    <t>HGNC:26558</t>
  </si>
  <si>
    <t>acrosome; basal body; centrosome; cilia; cytosol; flagella; mid piece; nucleus</t>
  </si>
  <si>
    <t>Hydrolethalus Syndrome; Joubert Syndrome</t>
  </si>
  <si>
    <t>RSPH3</t>
  </si>
  <si>
    <t>Ciliary dyskinesia, primary, 32 (MIM#616481)</t>
  </si>
  <si>
    <t>ENSG00000130363</t>
  </si>
  <si>
    <t>HGNC:21054</t>
  </si>
  <si>
    <t>IFT122</t>
  </si>
  <si>
    <t>Cranioectodermal dysplasia 1, MIM# 218330;MONDO:0021093;Beemer-Langer syndrome</t>
  </si>
  <si>
    <t>ENSG00000163913</t>
  </si>
  <si>
    <t>HGNC:13556</t>
  </si>
  <si>
    <t>RSPH4A</t>
  </si>
  <si>
    <t>Cranioectodermal Dysplasia (Sensenbrenner); Skeletal Ciliopathy</t>
  </si>
  <si>
    <t>Ciliary dyskinesia, primary, 11 (MIM#612649)</t>
  </si>
  <si>
    <t>ENSG00000111834</t>
  </si>
  <si>
    <t>IFT140</t>
  </si>
  <si>
    <t>HGNC:21558</t>
  </si>
  <si>
    <t>Short-rib thoracic dysplasia 9 with or without polydactyly, MIM# 266920;MONDO:0009964;Retinitis pigmentosa 80, MIM# 617781;Cystic Kidney Disease, MONDO: 0002473, IFT140-associated, dominant;Cranioectodermal dysplasia 5, MIM# 621180</t>
  </si>
  <si>
    <t>ENSG00000187535</t>
  </si>
  <si>
    <t>HGNC:29077</t>
  </si>
  <si>
    <t>Autosomal Dominant Polycystic Kidney Disease; Cranioectodermal Dysplasia (Sensenbrenner); Leber Congenital Amaurosis; Opitz Trigonocephaly C Syndrome; Retinal Dystrophy/Degeneration; Short-Rib Thoracic Dysplasia; Skeletal Ciliopathy; Male Infertility</t>
  </si>
  <si>
    <t>Tissue-restricted Ciliopathies; Primary Ciliopathies; Motile Ciliopathies</t>
  </si>
  <si>
    <t>Male Infertility: Compound heterozygous IFT140 variants segregating recessively were reported in a single man with oligoasthenoteratozoospermia, with loss of IFT140 from the sperm neck and midpiece (PMID 31397098). | Opitz Trigonocephaly C Syndrome: Compound heterozygous loss-of-function IFT140 variants, inherited one from each parent, were reported in a single infant with Opitz trigonocephaly C syndrome and skeletal ciliopathy features (PMID 27874174).</t>
  </si>
  <si>
    <t>RSPH9</t>
  </si>
  <si>
    <t>Ciliary dyskinesia, primary, 12 (MIM#612650)</t>
  </si>
  <si>
    <t>ENSG00000172426</t>
  </si>
  <si>
    <t>IFT172</t>
  </si>
  <si>
    <t>HGNC:21057</t>
  </si>
  <si>
    <t>Bardet-Biedl syndrome 20, MIM# 619471;Retinitis pigmentosa 71, MIM# 616394;Short-rib thoracic dysplasia 10 with or without polydactyly, MIM# 615630</t>
  </si>
  <si>
    <t>ENSG00000138002</t>
  </si>
  <si>
    <t>HGNC:30391</t>
  </si>
  <si>
    <t>Bardet-Biedl Syndrome; Joubert Syndrome; Retinal Dystrophy/Degeneration; Short-Rib Thoracic Dysplasia; Skeletal Ciliopathy</t>
  </si>
  <si>
    <t>SPAG1</t>
  </si>
  <si>
    <t>Joubert Syndrome: Among 12 families with biallelic IFT172 variants and Jeune or Mainzer-Saldino syndrome, 2 had cerebellar aplasia or hypoplasia characteristic of Joubert syndrome (PMID 24140113).</t>
  </si>
  <si>
    <t>Ciliary dyskinesia, primary, 28 (MIM#615505)</t>
  </si>
  <si>
    <t>ENSG00000104450</t>
  </si>
  <si>
    <t>HGNC:11212</t>
  </si>
  <si>
    <t>IFT27</t>
  </si>
  <si>
    <t>Bardet-Biedl syndrome 19, MIM#615996</t>
  </si>
  <si>
    <t>ENSG00000100360</t>
  </si>
  <si>
    <t>HGNC:18626</t>
  </si>
  <si>
    <t>cilia; microtubules; nucleus</t>
  </si>
  <si>
    <t>TP73</t>
  </si>
  <si>
    <t>Ciliary dyskinesia, primary, 47, and lissencephaly, MIM#619466</t>
  </si>
  <si>
    <t>Bardet-Biedl Syndrome; Short-Rib Thoracic Dysplasia; Skeletal Ciliopathy; Visceral Heterotaxy / Situs Inversus</t>
  </si>
  <si>
    <t>ENSG00000078900</t>
  </si>
  <si>
    <t>Primary Ciliopathies; Tissue-restricted Ciliopathies; Motile Ciliopathies</t>
  </si>
  <si>
    <t>HGNC:12003</t>
  </si>
  <si>
    <t>Bardet-Biedl Syndrome: IFT27 mutation was identified in a single consanguineous family with BBS, supported by functional validation in zebrafish, and designated BBS19 (PMID 24488770). | Short-Rib Thoracic Dysplasia: Biallelic loss-of-function IFT27 variants were reported in two fetal cases of a lethal ciliopathy with short ribs and polydactyly, described as overlapping short-rib polydactyly and Pallister-Hall syndromes, with mRNA decay and altered ciliogenesis shown in fetal tissues (PMID 39955445). | Skeletal Ciliopathy: Biallelic loss-of-function IFT27 variants were reported in two fetal cases of a lethal ciliopathy with short ribs and polydactyly overlapping short-rib polydactyly syndrome (PMID 39955445). | Visceral Heterotaxy / Situs Inversus: Situs inversus was present in one fetus with biallelic IFT27 loss-of-function variants as part of a syndromic lethal ciliopathy with short ribs, polydactyly and kidney anomalies (PMID 39955445).</t>
  </si>
  <si>
    <t>IFT43</t>
  </si>
  <si>
    <t>Short-rib thoracic dysplasia 18 with polydactyly, MIM# 617866;Retinitis pigmentosa 81 , MIM#617871;Cranioectodermal dysplasia 3, MIM# 614099</t>
  </si>
  <si>
    <t>ENSG00000119650</t>
  </si>
  <si>
    <t>HGNC:29669</t>
  </si>
  <si>
    <t>Cranioectodermal Dysplasia (Sensenbrenner); Retinal Dystrophy/Degeneration; Short-Rib Thoracic Dysplasia; Skeletal Ciliopathy</t>
  </si>
  <si>
    <t>TNNT2</t>
  </si>
  <si>
    <t>Homozygous loss-of-function TP73 variants were found in seven individuals from five unrelated families with a mucociliary clearance disorder and lissencephaly, caused by defective multiciliated cell differentiation (Wallmeier et al. 2021, PMID 34077761).</t>
  </si>
  <si>
    <t>Retinal Dystrophy/Degeneration: A homozygous IFT43 missense variant segregated with early onset nonsyndromic retinal degeneration in a four-generation consanguineous Pakistani family, and the mutant protein produced shorter cilia in cultured cells (PMID 28973684). | Short-Rib Thoracic Dysplasia: IFT43 mutations were reported to cause a short rib polydactyly syndrome with distinctive campomelia, with disrupted cilia formation and growth plate abnormalities (PMID 28400947).</t>
  </si>
  <si>
    <t>Cardiomyopathy, dilated, 1D, MIM# 601494</t>
  </si>
  <si>
    <t>ENSG00000118194</t>
  </si>
  <si>
    <t>IFT52</t>
  </si>
  <si>
    <t>HGNC:11949</t>
  </si>
  <si>
    <t>TTC12</t>
  </si>
  <si>
    <t>Short-rib thoracic dysplasia 16 with or without polydactyly, MIM# 617102</t>
  </si>
  <si>
    <t>ENSG00000101052</t>
  </si>
  <si>
    <t>HGNC:15901</t>
  </si>
  <si>
    <t>Ciliary dyskinesia</t>
  </si>
  <si>
    <t>ENSG00000149292</t>
  </si>
  <si>
    <t>cilia associated gene; cytosol</t>
  </si>
  <si>
    <t>HGNC:23700</t>
  </si>
  <si>
    <t>Cranioectodermal Dysplasia (Sensenbrenner); Leber Congenital Amaurosis; Short-Rib Thoracic Dysplasia; Skeletal Ciliopathy</t>
  </si>
  <si>
    <t>TPM1</t>
  </si>
  <si>
    <t>Leber Congenital Amaurosis: A homozygous IFT52 missense variant (p.T186A) was found in a single patient with syndromic ciliopathy combining mild SRTD and LCA, absent in unaffected siblings, with in vitro loss of cilia elongation in RPE1 cells (PMID 30242358).</t>
  </si>
  <si>
    <t>Cardiomyopathy, dilated, 1Y, MIM# 611878</t>
  </si>
  <si>
    <t>ENSG00000140416</t>
  </si>
  <si>
    <t>HGNC:12010</t>
  </si>
  <si>
    <t>IFT56</t>
  </si>
  <si>
    <t>Biliary, renal, neurologic, and skeletal syndrome, MIM# 619534;Ciliopathy Syndrome with Biliary, Renal, Neurological, and Skeletal Manifestations</t>
  </si>
  <si>
    <t>ENSG00000105948</t>
  </si>
  <si>
    <t>flagella</t>
  </si>
  <si>
    <t>HGNC:21882</t>
  </si>
  <si>
    <t>TTN</t>
  </si>
  <si>
    <t>TUBB4B</t>
  </si>
  <si>
    <t>Cardiomyopathy, dilated, 1G, MIM#604145</t>
  </si>
  <si>
    <t>ENSG00000155657</t>
  </si>
  <si>
    <t>BRENS Syndrome</t>
  </si>
  <si>
    <t>HGNC:12403</t>
  </si>
  <si>
    <t>basal body; cilia; cilium; transition zone; axoneme</t>
  </si>
  <si>
    <t>Primary ciliary dyskinesia, MONDO:0016575, TUBB4B-related</t>
  </si>
  <si>
    <t>ENSG00000188229</t>
  </si>
  <si>
    <t>HGNC:20771</t>
  </si>
  <si>
    <t>IFT74</t>
  </si>
  <si>
    <t>Bardet-Biedl syndrome 20, MIM# 617119;Joubert syndrome 40, MIM# 619582</t>
  </si>
  <si>
    <t>ENSG00000096872</t>
  </si>
  <si>
    <t>VCL</t>
  </si>
  <si>
    <t>HGNC:21424</t>
  </si>
  <si>
    <t>Cardiomyopathy, dilated, 1W, MIM# 611407</t>
  </si>
  <si>
    <t>Leber Congenital Amaurosis; Primary Ciliary Dyskinesia</t>
  </si>
  <si>
    <t>ENSG00000035403</t>
  </si>
  <si>
    <t>Tissue-restricted Ciliopathies; Motile Ciliopathies</t>
  </si>
  <si>
    <t>HGNC:12665</t>
  </si>
  <si>
    <t>Bardet-Biedl Syndrome; Joubert Syndrome; Male Infertility; Mucociliary Clearance Disorder; Skeletal Ciliopathy</t>
  </si>
  <si>
    <t>ZMYND10</t>
  </si>
  <si>
    <t>Bardet-Biedl Syndrome: A deletion and a splice site mutation in IFT74, inherited recessively, were reported in one individual with Bardet-Biedl syndrome, defining a candidate BBS locus (PMID 27486776). | Male Infertility: A homozygous IFT74 missense variant (p.Gly86Ser) affecting splicing was identified in two unrelated infertile men with asthenozoospermia and multiple morphological abnormalities of the sperm flagellum, without other ciliopathy features (PMID 33689014). | Mucociliary Clearance Disorder: Homozygous IFT74 exon 2 deletion was reported in two families with ciliary chondrodysplasia and a mucociliary clearance disorder with shortened cilia (PMID 37315079), and in two siblings with primary ciliary dyskinesia features and abnormal motile cilia (PMID 37555648).</t>
  </si>
  <si>
    <t>ABCC9</t>
  </si>
  <si>
    <t>Ciliary dyskinesia, primary, 22, MIM#615444</t>
  </si>
  <si>
    <t>IFT80</t>
  </si>
  <si>
    <t>ENSG00000004838</t>
  </si>
  <si>
    <t>HGNC:19412</t>
  </si>
  <si>
    <t>Short-rib thoracic dysplasia 2 with or without polydactyly, MIM# 611263;MONDO:0012644</t>
  </si>
  <si>
    <t>dilated cardiomyopathy 1O MONDO:0012062</t>
  </si>
  <si>
    <t>ENSG00000068885</t>
  </si>
  <si>
    <t>ENSG00000069431</t>
  </si>
  <si>
    <t>CFAP57</t>
  </si>
  <si>
    <t>Van der Woude Syndrome;Primary ciliary dyskinesia</t>
  </si>
  <si>
    <t>ENSG00000243710</t>
  </si>
  <si>
    <t>HGNC:26485</t>
  </si>
  <si>
    <t>Expert Review Amber;Literature</t>
  </si>
  <si>
    <t>DNAH1</t>
  </si>
  <si>
    <t>Primary ciliary dyskinesia 7, MONDO:0012748</t>
  </si>
  <si>
    <t>ENSG00000114841</t>
  </si>
  <si>
    <t>HGNC:2940</t>
  </si>
  <si>
    <t>ClinGen;Expert Review Amber</t>
  </si>
  <si>
    <t>HGNC:60</t>
  </si>
  <si>
    <t>DNAL1</t>
  </si>
  <si>
    <t>HGNC:29262</t>
  </si>
  <si>
    <t>Ciliary dyskinesia, primary, 16, MIM# 614017</t>
  </si>
  <si>
    <t>ENSG00000119661</t>
  </si>
  <si>
    <t>HGNC:23247</t>
  </si>
  <si>
    <t>Expert Review Amber;Victorian Clinical Genetics Services</t>
  </si>
  <si>
    <t>DOLK</t>
  </si>
  <si>
    <t>Congenital disorder of glycosylation, type Im	MIM#610768</t>
  </si>
  <si>
    <t>ENSG00000175283</t>
  </si>
  <si>
    <t>HGNC:23406</t>
  </si>
  <si>
    <t>NFKB1</t>
  </si>
  <si>
    <t>DSG2</t>
  </si>
  <si>
    <t>Immunodeficiency, common variable, 12	616576</t>
  </si>
  <si>
    <t>IFT81</t>
  </si>
  <si>
    <t>ENSG00000109320</t>
  </si>
  <si>
    <t>HGNC:7794</t>
  </si>
  <si>
    <t>Arrhythmogenic right ventricular dysplasia, 10, 610193;Cardiomyopathy, dilated, 1BB, 612877</t>
  </si>
  <si>
    <t>Expert list;Expert Review Amber</t>
  </si>
  <si>
    <t>ENSG00000046604</t>
  </si>
  <si>
    <t>HGNC:3049</t>
  </si>
  <si>
    <t>Short-rib thoracic dysplasia 19 with or without polydactyly, MIM# 617895</t>
  </si>
  <si>
    <t>ENSG00000122970</t>
  </si>
  <si>
    <t>HGNC:14313</t>
  </si>
  <si>
    <t>Dilated Cardiomyopathy (panel 95, v2.12)</t>
  </si>
  <si>
    <t>Non-ciliary (control)</t>
  </si>
  <si>
    <t>FBN1</t>
  </si>
  <si>
    <t>Bardet-Biedl Syndrome; Short-Rib Thoracic Dysplasia</t>
  </si>
  <si>
    <t>NFKB2</t>
  </si>
  <si>
    <t>MONDO:0007947 Marfan Syndrome</t>
  </si>
  <si>
    <t>ENSG00000166147</t>
  </si>
  <si>
    <t>HGNC:3603</t>
  </si>
  <si>
    <t>Bardet-Biedl Syndrome: Compound heterozygous IFT81 variants from a patient with skeletal ciliopathy produced BBS-like ciliary defects when expressed in IFT81-knockout cells; no patient with Bardet-Biedl syndrome carrying IFT81 variants is described (PMID 37427975).</t>
  </si>
  <si>
    <t>Immunodeficiency, common variable, 10	615577</t>
  </si>
  <si>
    <t>ENSG00000077150</t>
  </si>
  <si>
    <t>HGNC:7795</t>
  </si>
  <si>
    <t>INPP5E</t>
  </si>
  <si>
    <t>FBXO32</t>
  </si>
  <si>
    <t>Joubert syndrome 1, MIM# 213300;MONDO:0008944;Mental retardation, truncal obesity, retinal dystrophy, and micropenis, MIM# 610156;MONDO:0012423</t>
  </si>
  <si>
    <t>ENSG00000148384</t>
  </si>
  <si>
    <t>HGNC:21474</t>
  </si>
  <si>
    <t>Dilated cardiomyopathy, MONDO:0005021, FBXO32-related</t>
  </si>
  <si>
    <t>ENSG00000156804</t>
  </si>
  <si>
    <t>HGNC:16731</t>
  </si>
  <si>
    <t>Joubert Syndrome; MORM Syndrome</t>
  </si>
  <si>
    <t>PIK3CD</t>
  </si>
  <si>
    <t>cilia; cytosol</t>
  </si>
  <si>
    <t>FKTN</t>
  </si>
  <si>
    <t>Immunodeficiency 14	615513</t>
  </si>
  <si>
    <t>Cardiomyopathy, dilated, 1X MIM#611615</t>
  </si>
  <si>
    <t>ENSG00000106692</t>
  </si>
  <si>
    <t>ENSG00000171608</t>
  </si>
  <si>
    <t>HGNC:3622</t>
  </si>
  <si>
    <t>HGNC:8977</t>
  </si>
  <si>
    <t>INTS13</t>
  </si>
  <si>
    <t>Oral-facial-digital syndrome, MONDO:0015375, INTS13-related</t>
  </si>
  <si>
    <t>ENSG00000064102</t>
  </si>
  <si>
    <t>HGNC:20174</t>
  </si>
  <si>
    <t>GATA6</t>
  </si>
  <si>
    <t>ENSG00000141448</t>
  </si>
  <si>
    <t>HGNC:4174</t>
  </si>
  <si>
    <t>PIK3R1</t>
  </si>
  <si>
    <t>?Agammaglobulinemia 7, autosomal recessive	615214;Immunodeficiency 36	616005;SHORT syndrome	269880</t>
  </si>
  <si>
    <t>INTU</t>
  </si>
  <si>
    <t>JUP</t>
  </si>
  <si>
    <t>ENSG00000145675</t>
  </si>
  <si>
    <t>HGNC:8979</t>
  </si>
  <si>
    <t>INTU-related skeletal ciliopathy, MONDO:1060154</t>
  </si>
  <si>
    <t>Arrhythmogenic right ventricular dysplasia 12 (MIM#611528);Naxos disease, MIM#	601214</t>
  </si>
  <si>
    <t>ENSG00000164066</t>
  </si>
  <si>
    <t>ENSG00000173801</t>
  </si>
  <si>
    <t>HGNC:29239</t>
  </si>
  <si>
    <t>HGNC:6207</t>
  </si>
  <si>
    <t>Orofaciodigital Syndrome; Short-Rib Thoracic Dysplasia</t>
  </si>
  <si>
    <t>KLF13</t>
  </si>
  <si>
    <t>SCNN1A</t>
  </si>
  <si>
    <t>Dilated cardiomyopathy - MONDO:0005021, KLF13-related</t>
  </si>
  <si>
    <t>ENSG00000169926</t>
  </si>
  <si>
    <t>INVS</t>
  </si>
  <si>
    <t>HGNC:13672</t>
  </si>
  <si>
    <t>Bronchiectasis with or without elevated sweat chloride 2 (MIM#613021);MONDO:0013087</t>
  </si>
  <si>
    <t>Nephronophthisis 2, infantile, (MIM#602088)</t>
  </si>
  <si>
    <t>ENSG00000111319</t>
  </si>
  <si>
    <t>ENSG00000119509</t>
  </si>
  <si>
    <t>HGNC:10599</t>
  </si>
  <si>
    <t>HGNC:17870</t>
  </si>
  <si>
    <t>Expert Review;Expert Review Amber</t>
  </si>
  <si>
    <t>LDB3</t>
  </si>
  <si>
    <t>Cardiomyopathy, dilated, 1C, with or without LVNC MIM#601493</t>
  </si>
  <si>
    <t>ENSG00000122367</t>
  </si>
  <si>
    <t>HGNC:15710</t>
  </si>
  <si>
    <t>Caroli Disease; Nephronophthisis</t>
  </si>
  <si>
    <t>SCNN1B</t>
  </si>
  <si>
    <t>MYLK3</t>
  </si>
  <si>
    <t>IQCB1</t>
  </si>
  <si>
    <t>dilated cardiomyopathy, MONDO:0005021, MYLK3-related</t>
  </si>
  <si>
    <t>ENSG00000140795</t>
  </si>
  <si>
    <t>HGNC:29826</t>
  </si>
  <si>
    <t>Senior-Loken syndrome 5, MIM# 609254;MONDO:0012225</t>
  </si>
  <si>
    <t>ENSG00000173226</t>
  </si>
  <si>
    <t>HGNC:28949</t>
  </si>
  <si>
    <t>Bronchiectasis with or without elevated sweat chloride 1 (MIM#211400)</t>
  </si>
  <si>
    <t>ENSG00000168447</t>
  </si>
  <si>
    <t>HGNC:10600</t>
  </si>
  <si>
    <t>MYOM1</t>
  </si>
  <si>
    <t>Leber Congenital Amaurosis; Senior-Løken Syndrome</t>
  </si>
  <si>
    <t>Dilated cardiomyopathy, MONDO:0005021, MYOM1-related</t>
  </si>
  <si>
    <t>ENSG00000101605</t>
  </si>
  <si>
    <t>HGNC:7613</t>
  </si>
  <si>
    <t>IQCE</t>
  </si>
  <si>
    <t>NEBL</t>
  </si>
  <si>
    <t>SPEF2</t>
  </si>
  <si>
    <t>Polydactyly, postaxial, type A7 MIM#617642</t>
  </si>
  <si>
    <t>ENSG00000106012</t>
  </si>
  <si>
    <t>Hypertrophic cardiomyopathy;dilated cardiomyopathy</t>
  </si>
  <si>
    <t>HGNC:29171</t>
  </si>
  <si>
    <t>ENSG00000078114</t>
  </si>
  <si>
    <t>HGNC:16932</t>
  </si>
  <si>
    <t>Spermatogenic failure 43, MIM#618751;Primary ciliary dyskinesia-like phenotype</t>
  </si>
  <si>
    <t>ENSG00000152582</t>
  </si>
  <si>
    <t>HGNC:26293</t>
  </si>
  <si>
    <t>Postaxial Polydactyly</t>
  </si>
  <si>
    <t>PLEKHM2</t>
  </si>
  <si>
    <t>Dilated cardiomyopathy MONDO:0005021</t>
  </si>
  <si>
    <t>KIAA0586</t>
  </si>
  <si>
    <t>ENSG00000116786</t>
  </si>
  <si>
    <t>HGNC:29131</t>
  </si>
  <si>
    <t>Joubert syndrome 23 616490;Short-rib thoracic dysplasia 14 with polydactyly 616546</t>
  </si>
  <si>
    <t>ENSG00000100578</t>
  </si>
  <si>
    <t>HGNC:19960</t>
  </si>
  <si>
    <t>Expert Review Green;Literature;Victorian Clinical Genetics Services</t>
  </si>
  <si>
    <t>SLC6A6</t>
  </si>
  <si>
    <t>AK7</t>
  </si>
  <si>
    <t>Hypotaurinaemic retinal degeneration and cardiomyopathy (HTRDC), MIM#145350;Early retinal degeneration;cardiomyopathy</t>
  </si>
  <si>
    <t>ENSG00000131389</t>
  </si>
  <si>
    <t>HGNC:11052</t>
  </si>
  <si>
    <t>Primary ciliary dyskinesia, MONDO:0016575</t>
  </si>
  <si>
    <t>Expert Review Amber;Expert Review Green;Literature</t>
  </si>
  <si>
    <t>ENSG00000140057</t>
  </si>
  <si>
    <t>HGNC:20091</t>
  </si>
  <si>
    <t>ClinGen;Expert Review Red</t>
  </si>
  <si>
    <t>KIAA0753</t>
  </si>
  <si>
    <t>TMEM43</t>
  </si>
  <si>
    <t>Orofaciodigital syndrome XV 617127;Joubert syndrome 38, MIM#	619476;Short-rib thoracic dysplasia 21 without polydactyly, MIM# 619479</t>
  </si>
  <si>
    <t>Arrhythmogenic right ventricular dysplasia 5 (MIM# 	604400)</t>
  </si>
  <si>
    <t>ENSG00000198920</t>
  </si>
  <si>
    <t>ENSG00000170876</t>
  </si>
  <si>
    <t>HGNC:29110</t>
  </si>
  <si>
    <t>HGNC:28472</t>
  </si>
  <si>
    <t>cilia; flagella; nucleus</t>
  </si>
  <si>
    <t>A homozygous AK7 missense variant was identified in two siblings with MMAF without PCD features, with loss of AK7 protein in sperm (PMID 29365104). For PCD, evidence is a single insertion variant that could be related to disease (PMID 22801010), reduced AK7 expression in PCD patients (PMID 20537283) and a mouse model (PMID 18776131).</t>
  </si>
  <si>
    <t>Joubert Syndrome; Orofaciodigital Syndrome; Short-Rib Thoracic Dysplasia; Skeletal Ciliopathy</t>
  </si>
  <si>
    <t>AKNA</t>
  </si>
  <si>
    <t>ANKRD1</t>
  </si>
  <si>
    <t>Primary ciliary dyskinesia, MONDO:0016575, AKNA-related</t>
  </si>
  <si>
    <t>ENSG00000148677</t>
  </si>
  <si>
    <t>ENSG00000106948</t>
  </si>
  <si>
    <t>HGNC:15819</t>
  </si>
  <si>
    <t>Expert Review Red;Victorian Clinical Genetics Services</t>
  </si>
  <si>
    <t>HGNC:24108</t>
  </si>
  <si>
    <t>KIF7</t>
  </si>
  <si>
    <t>Expert Review Red;Literature</t>
  </si>
  <si>
    <t>Joubert syndrome 12, MIM# 200990;Acrocallosal syndrome, MIM# 200990;MONDO:0008708;Hydrolethalus syndrome 2, MIM# 614120</t>
  </si>
  <si>
    <t>ENSG00000166813</t>
  </si>
  <si>
    <t>HGNC:30497</t>
  </si>
  <si>
    <t>BMP10</t>
  </si>
  <si>
    <t>ENSG00000163217</t>
  </si>
  <si>
    <t>HGNC:20869</t>
  </si>
  <si>
    <t>Biallelic likely deleterious AKNA variants were found in an exome study of suspected PCD, and AKNA was proposed as a novel candidate gene for a lung phenotype overlapping PCD (PMID 32367404).</t>
  </si>
  <si>
    <t>Acrocallosal Syndrome; Hydrolethalus Syndrome; Joubert Syndrome; Orofaciodigital Syndrome</t>
  </si>
  <si>
    <t>BRWD1</t>
  </si>
  <si>
    <t>Ciliary dyskinesia, primary, 51, MIM# 620438</t>
  </si>
  <si>
    <t>ENSG00000185658</t>
  </si>
  <si>
    <t>CDH2</t>
  </si>
  <si>
    <t>HGNC:12760</t>
  </si>
  <si>
    <t>LBR</t>
  </si>
  <si>
    <t>Arrhythmogenic right ventricular dysplasia, familial, 14 MIM#618920</t>
  </si>
  <si>
    <t>ENSG00000170558</t>
  </si>
  <si>
    <t>HGNC:1759</t>
  </si>
  <si>
    <t>Greenberg skeletal dysplasia, MIM#215140</t>
  </si>
  <si>
    <t>ENSG00000143815</t>
  </si>
  <si>
    <t>HGNC:6518</t>
  </si>
  <si>
    <t>cilia associated</t>
  </si>
  <si>
    <t>CFAP43</t>
  </si>
  <si>
    <t>Spondylometaphyseal Dysplasia</t>
  </si>
  <si>
    <t>cilia associated gene; nuclear membrane; nucleoli fibrillar center</t>
  </si>
  <si>
    <t>Hydrocephalus, normal pressure, 1	236690;Spermatogenic failure 19	617592</t>
  </si>
  <si>
    <t>ENSG00000197748</t>
  </si>
  <si>
    <t>HGNC:26684</t>
  </si>
  <si>
    <t>Expert Review;Expert Review Red</t>
  </si>
  <si>
    <t>LZTFL1</t>
  </si>
  <si>
    <t>Bardet-Biedl syndrome 17 (MIM#615994)</t>
  </si>
  <si>
    <t>ENSG00000163818</t>
  </si>
  <si>
    <t>HGNC:6741</t>
  </si>
  <si>
    <t>DNAH14</t>
  </si>
  <si>
    <t>ENSG00000185842</t>
  </si>
  <si>
    <t>HGNC:2945</t>
  </si>
  <si>
    <t>cilia; transition zone</t>
  </si>
  <si>
    <t>CHRM2</t>
  </si>
  <si>
    <t>MAPKBP1</t>
  </si>
  <si>
    <t>basal body; endoplasmic reticulum; transition zone</t>
  </si>
  <si>
    <t>Nephronophthisis 20, MIM# 617271;MONDO:0014997</t>
  </si>
  <si>
    <t>DNAH6</t>
  </si>
  <si>
    <t>ENSG00000137802</t>
  </si>
  <si>
    <t>HGNC:29536</t>
  </si>
  <si>
    <t>Familial Dilated Cardiomyopathy MONDO#0016333, CHRM2-related</t>
  </si>
  <si>
    <t>ENSG00000115423</t>
  </si>
  <si>
    <t>HGNC:2951</t>
  </si>
  <si>
    <t>ENSG00000181072</t>
  </si>
  <si>
    <t>Expert list;Expert Review Red</t>
  </si>
  <si>
    <t>HGNC:1951</t>
  </si>
  <si>
    <t>DNAH8</t>
  </si>
  <si>
    <t>MKKS</t>
  </si>
  <si>
    <t>Primary ciliary dyskinesia, MONDO:0016575, DNAH8-related</t>
  </si>
  <si>
    <t>ENSG00000124721</t>
  </si>
  <si>
    <t>basal body; endosome</t>
  </si>
  <si>
    <t>Ciliopathy, MONDO:0005308, MKKS-related;Bardet-Biedl syndrome 6 (MIM#605231);McKusick-Kaufman syndrome, MIM# 236700;Retinitis pigmentosa</t>
  </si>
  <si>
    <t>HGNC:2952</t>
  </si>
  <si>
    <t>ENSG00000125863</t>
  </si>
  <si>
    <t>HGNC:7108</t>
  </si>
  <si>
    <t>Bardet-Biedl Syndrome; McKusick-Kaufman Syndrome</t>
  </si>
  <si>
    <t>GOLGA3</t>
  </si>
  <si>
    <t>basal body; centrosome; cytosol; transition zone</t>
  </si>
  <si>
    <t>Primary ciliary dyskinesia MONDO:0016575, GOLGA3-related</t>
  </si>
  <si>
    <t>ENSG00000090615</t>
  </si>
  <si>
    <t>MKS1</t>
  </si>
  <si>
    <t>HGNC:4426</t>
  </si>
  <si>
    <t>Joubert syndrome 28, MIM# 617121;MONDO:0014928;Meckel syndrome 1, MIM# 249000;MONDO:0009571;Bardet-Biedl syndrome 13, MIM# 615990;MONDO:0014441</t>
  </si>
  <si>
    <t>ENSG00000011143</t>
  </si>
  <si>
    <t>HGNC:7121</t>
  </si>
  <si>
    <t>CRYAB</t>
  </si>
  <si>
    <t>Bardet-Biedl Syndrome; Joubert Syndrome; Meckel-Gruber Syndrome</t>
  </si>
  <si>
    <t>Cardiomyopathy, dilated, 1II, MIM#615184</t>
  </si>
  <si>
    <t>cilia associated gene; cytosol; nucleus</t>
  </si>
  <si>
    <t>ENSG00000109846</t>
  </si>
  <si>
    <t>centrosome; cilia</t>
  </si>
  <si>
    <t>Biallelic likely deleterious GOLGA3 variants were found in an exome study of suspected PCD, and the authors propose GOLGA3 as a novel candidate for a lung phenotype that clinically overlaps PCD (PMID 32367404).</t>
  </si>
  <si>
    <t>HGNC:2389</t>
  </si>
  <si>
    <t>ITCH</t>
  </si>
  <si>
    <t>NEK1</t>
  </si>
  <si>
    <t>Autoimmune disease, multisystem, with facial dysmorphism	613385;primary ciliary dyskinesia</t>
  </si>
  <si>
    <t>Short-rib thoracic dysplasia 6 with or without polydactyly, MIM# 263520;Orofaciodigital syndrome II , MIM# 252100</t>
  </si>
  <si>
    <t>ENSG00000078747</t>
  </si>
  <si>
    <t>ENSG00000137601</t>
  </si>
  <si>
    <t>HGNC:13890</t>
  </si>
  <si>
    <t>HGNC:7744</t>
  </si>
  <si>
    <t>CSRP3</t>
  </si>
  <si>
    <t>Orofaciodigital Syndrome; Short-Rib Thoracic Dysplasia; Skeletal Ciliopathy</t>
  </si>
  <si>
    <t>basal body; cytosol; endosome; nucleus</t>
  </si>
  <si>
    <t>Cardiomyopathy, dilated, 1M MIM#607482</t>
  </si>
  <si>
    <t>ENSG00000129170</t>
  </si>
  <si>
    <t>HGNC:2472</t>
  </si>
  <si>
    <t>NME8</t>
  </si>
  <si>
    <t>NEK8</t>
  </si>
  <si>
    <t>Ciliary dyskinesia, primary, 6, MIM# 610852</t>
  </si>
  <si>
    <t>Renal-hepatic-pancreatic dysplasia 2, MIM# 615415;MONDO:0014174;Polycystic kidney disease 8, MIM# 620903</t>
  </si>
  <si>
    <t>ENSG00000086288</t>
  </si>
  <si>
    <t>ENSG00000160602</t>
  </si>
  <si>
    <t>HGNC:13387</t>
  </si>
  <si>
    <t>HGNC:16473</t>
  </si>
  <si>
    <t>Autosomal Dominant Polycystic Kidney Disease; Nephronophthisis; Renal-hepatic-pancreatic Dysplasia</t>
  </si>
  <si>
    <t>CTF1</t>
  </si>
  <si>
    <t>dilated cardiomyopathy MONDO:0005021, CTF1-related</t>
  </si>
  <si>
    <t>NPHP1</t>
  </si>
  <si>
    <t>SCNN1G</t>
  </si>
  <si>
    <t>ENSG00000150281</t>
  </si>
  <si>
    <t>HGNC:2499</t>
  </si>
  <si>
    <t>Expert Review Red;NHS GMS;South West GLH</t>
  </si>
  <si>
    <t>Joubert syndrome 4, MIM# 609583;Nephronophthisis 1, juvenile, MIM# 256100;Senior-Loken syndrome-1, MIM# 266900</t>
  </si>
  <si>
    <t>Bronchiectasis with or without elevated sweat chloride 3, MIM#	613071</t>
  </si>
  <si>
    <t>ENSG00000144061</t>
  </si>
  <si>
    <t>ENSG00000166828</t>
  </si>
  <si>
    <t>HGNC:7905</t>
  </si>
  <si>
    <t>HGNC:10602</t>
  </si>
  <si>
    <t>Cone-Rod Dystrophy; Joubert Syndrome; Nephronophthisis; Senior-Løken Syndrome</t>
  </si>
  <si>
    <t>DSC2</t>
  </si>
  <si>
    <t>NPHP3</t>
  </si>
  <si>
    <t>STK36</t>
  </si>
  <si>
    <t>Arrhythmogenic right ventricular dysplasia 11 with or without mild palmoplantar keratoderma and woolly hair MIM#610476</t>
  </si>
  <si>
    <t>ENSG00000134755</t>
  </si>
  <si>
    <t>Nephronophthisis 3, MIM# 604387;Renal-hepatic-pancreatic dysplasia 1, MIM# 208540;Meckel syndrome 7, MIM# 267010</t>
  </si>
  <si>
    <t>HGNC:3036</t>
  </si>
  <si>
    <t>ENSG00000113971</t>
  </si>
  <si>
    <t>Ciliary dyskinesia, primary, 46, MIM# 619436</t>
  </si>
  <si>
    <t>ENSG00000163482</t>
  </si>
  <si>
    <t>HGNC:7907</t>
  </si>
  <si>
    <t>HGNC:17209</t>
  </si>
  <si>
    <t>COACH Syndrome; Meckel-Gruber Syndrome; Nephronophthisis; Renal-hepatic-pancreatic Dysplasia; Senior-Løken Syndrome</t>
  </si>
  <si>
    <t>NPHP4</t>
  </si>
  <si>
    <t>ETS1</t>
  </si>
  <si>
    <t>TEKT1</t>
  </si>
  <si>
    <t>Nephronophthisis 4, MIM# 606966;Senior-Loken syndrome 4, MIM# 606996</t>
  </si>
  <si>
    <t>ENSG00000131697</t>
  </si>
  <si>
    <t>HGNC:19104</t>
  </si>
  <si>
    <t>Familial dilated cardiomyopathy, MONDO:0016333, ETS1-related</t>
  </si>
  <si>
    <t>ENSG00000134954</t>
  </si>
  <si>
    <t>ENSG00000167858</t>
  </si>
  <si>
    <t>HGNC:3488</t>
  </si>
  <si>
    <t>HGNC:15534</t>
  </si>
  <si>
    <t>Nephronophthisis; Senior-Løken Syndrome</t>
  </si>
  <si>
    <t>cilia associated gene; nucleoplasm</t>
  </si>
  <si>
    <t>HSPB6</t>
  </si>
  <si>
    <t>Retinitis pigmentosa 23, MIM# 300424;Joubert syndrome 10, MIM# 300804;Orofaciodigital syndrome I, MIM# 311200</t>
  </si>
  <si>
    <t>Dilated cardiomyopathy, MONDO:0005021, HSPB6-related</t>
  </si>
  <si>
    <t>ENSG00000004776</t>
  </si>
  <si>
    <t>HGNC:26511</t>
  </si>
  <si>
    <t>Literature</t>
  </si>
  <si>
    <t>PDE6D</t>
  </si>
  <si>
    <t>Joubert syndrome 22, OMIM #615665</t>
  </si>
  <si>
    <t>ILK</t>
  </si>
  <si>
    <t>ENSG00000156973</t>
  </si>
  <si>
    <t>HGNC:8788</t>
  </si>
  <si>
    <t>ENSG00000166333</t>
  </si>
  <si>
    <t>HGNC:6040</t>
  </si>
  <si>
    <t>PDIA6</t>
  </si>
  <si>
    <t>multiple congenital anomalies, MONDO:0019042, PDIA6-related</t>
  </si>
  <si>
    <t>ENSG00000143870</t>
  </si>
  <si>
    <t>HGNC:30168</t>
  </si>
  <si>
    <t>LAMA4</t>
  </si>
  <si>
    <t>Cardiomyopathy, dilated, 1JJ (MIM#615235)</t>
  </si>
  <si>
    <t>ENSG00000112769</t>
  </si>
  <si>
    <t>HGNC:6484</t>
  </si>
  <si>
    <t>basal body; centriolar satellites; cilia; endoplasmic reticulum</t>
  </si>
  <si>
    <t>PIBF1</t>
  </si>
  <si>
    <t>Joubert syndrome 33, OMIM #617767</t>
  </si>
  <si>
    <t>MYBPC3</t>
  </si>
  <si>
    <t>ENSG00000083535</t>
  </si>
  <si>
    <t>HGNC:23352</t>
  </si>
  <si>
    <t>Cardiomyopathy, dilated, 1MM, MIM#615396</t>
  </si>
  <si>
    <t>ENSG00000134571</t>
  </si>
  <si>
    <t>HGNC:7551</t>
  </si>
  <si>
    <t>PIK3C2A</t>
  </si>
  <si>
    <t>Oculoskeletodental syndrome	618440</t>
  </si>
  <si>
    <t>ENSG00000011405</t>
  </si>
  <si>
    <t>HGNC:8971</t>
  </si>
  <si>
    <t>MYL3</t>
  </si>
  <si>
    <t>Oculoskeletodental Syndrome</t>
  </si>
  <si>
    <t>Dilated cardiomyopathy, MONDO:0005021</t>
  </si>
  <si>
    <t>basal body; cilia; cytosol; endosome; nucleus</t>
  </si>
  <si>
    <t>ENSG00000160808</t>
  </si>
  <si>
    <t>HGNC:7584</t>
  </si>
  <si>
    <t>PKHD1</t>
  </si>
  <si>
    <t>Polycystic kidney disease 4, with or without hepatic disease, MIM# 263200</t>
  </si>
  <si>
    <t>ENSG00000170927</t>
  </si>
  <si>
    <t>HGNC:9016</t>
  </si>
  <si>
    <t>Autosomal Recessive Polycystic Kidney Disease; Caroli Disease; Renal-hepatic-pancreatic Dysplasia</t>
  </si>
  <si>
    <t>PDLIM3</t>
  </si>
  <si>
    <t>POC1B</t>
  </si>
  <si>
    <t>ENSG00000154553</t>
  </si>
  <si>
    <t>HGNC:20767</t>
  </si>
  <si>
    <t>Cone-rod dystrophy 20 (MIM#615973)</t>
  </si>
  <si>
    <t>ENSG00000139323</t>
  </si>
  <si>
    <t>HGNC:30836</t>
  </si>
  <si>
    <t>Expert list;Expert Review Green;Expert Review Red;Victorian Clinical Genetics Services</t>
  </si>
  <si>
    <t>Cone-Rod Dystrophy</t>
  </si>
  <si>
    <t>POC5</t>
  </si>
  <si>
    <t>PPCS</t>
  </si>
  <si>
    <t>Cardiomyopathy, dilated, 2C, MIM#	618189</t>
  </si>
  <si>
    <t>ENSG00000127125</t>
  </si>
  <si>
    <t>HGNC:25686</t>
  </si>
  <si>
    <t>Gene universe (protein-coding genes, Table S1)</t>
  </si>
  <si>
    <t>CiliaHub v9.2 genes</t>
  </si>
  <si>
    <t>PSEN1</t>
  </si>
  <si>
    <t>Ciliopathy module genes (linked to ≥1 ciliopathy; genes linked only to secondary disorders excluded)</t>
  </si>
  <si>
    <t>Ciliopathy, MONDO:0005308, POC5-related</t>
  </si>
  <si>
    <t>ENSG00000080815</t>
  </si>
  <si>
    <t>ENSG00000152359</t>
  </si>
  <si>
    <t>HGNC:9508</t>
  </si>
  <si>
    <t>HGNC:26658</t>
  </si>
  <si>
    <t>Primary analysis rows (Green = diagnostic-grade) are in bold. Counts, percentages and fold enrichments are live formulas over the panel sheets; one-sided Fisher exact P values (scipy.stats.fisher_exact, alternative="greater", against the 19,214-gene universe) are static values.</t>
  </si>
  <si>
    <t>Retinal Dystrophy/Degeneration</t>
  </si>
  <si>
    <t>centrosome; cilia; nucleus</t>
  </si>
  <si>
    <t>SOD2</t>
  </si>
  <si>
    <t>PRKACA</t>
  </si>
  <si>
    <t>Dilated cardiomyopathy MONDO:0005021, lethal neonatal, SOD2-related</t>
  </si>
  <si>
    <t>ENSG00000291237</t>
  </si>
  <si>
    <t>HGNC:11180</t>
  </si>
  <si>
    <t>Cardioacrofacial dysplasia 1, MONDO:0030876</t>
  </si>
  <si>
    <t>ENSG00000072062</t>
  </si>
  <si>
    <t>HGNC:9380</t>
  </si>
  <si>
    <t>Cardioacrofacial Dysplasia 1; Ellis-van Creveld Syndrome; Skeletal Ciliopathy</t>
  </si>
  <si>
    <t>cilia associated gene; mitochondria</t>
  </si>
  <si>
    <t>basal body; centrosome; cilia; cytosol; mitochondria; nucleus; ciliary tip</t>
  </si>
  <si>
    <t>Evidence is from RPE-specific Sod2 knockout mice used as an oxidative stress model of dry AMD-like retinal degeneration; no patients with SOD2 variants are described (PMID 34070383).</t>
  </si>
  <si>
    <t>TAFAZZIN</t>
  </si>
  <si>
    <t>PRKACB</t>
  </si>
  <si>
    <t>Barth syndrome (MIM# 302060)</t>
  </si>
  <si>
    <t>ENSG00000102125</t>
  </si>
  <si>
    <t>Cardioacrofacial dysplasia 2, MONDO:0030877</t>
  </si>
  <si>
    <t>HGNC:11577</t>
  </si>
  <si>
    <t>ENSG00000142875</t>
  </si>
  <si>
    <t>HGNC:9381</t>
  </si>
  <si>
    <t>Cardioacrofacial Dysplasia 2; Ellis-van Creveld Syndrome</t>
  </si>
  <si>
    <t>basal body; centrosome; cilia; cytosol; nucleus</t>
  </si>
  <si>
    <t>TCAP</t>
  </si>
  <si>
    <t>PSKH1</t>
  </si>
  <si>
    <t>Cholestasis, progressive familial intrahepatic, 13, MIM# 620962</t>
  </si>
  <si>
    <t>ENSG00000159792</t>
  </si>
  <si>
    <t>Muscular dystrophy, limb-girdle, autosomal recessive 7 (MIM#	601954);Cardiomyopathy, hypertrophic, 25 (MIM# 	607487)</t>
  </si>
  <si>
    <t>HGNC:9529</t>
  </si>
  <si>
    <t>ENSG00000173991</t>
  </si>
  <si>
    <t>HGNC:11610</t>
  </si>
  <si>
    <t>Progressive Familial Intrahepatic Cholestasis</t>
  </si>
  <si>
    <t>RAB34</t>
  </si>
  <si>
    <t>Orofaciodigital syndrome 20, MIM#620718</t>
  </si>
  <si>
    <t>TMPO</t>
  </si>
  <si>
    <t>ENSG00000109113</t>
  </si>
  <si>
    <t>HGNC:16519</t>
  </si>
  <si>
    <t>ENSG00000120802</t>
  </si>
  <si>
    <t>Orofaciodigital Syndrome; Skeletal Ciliopathy</t>
  </si>
  <si>
    <t>HGNC:11875</t>
  </si>
  <si>
    <t>basal body; cilia; endosome</t>
  </si>
  <si>
    <t>Retinitis pigmentosa 3 (MIM#300029)</t>
  </si>
  <si>
    <t>VEZF1</t>
  </si>
  <si>
    <t>dilated cardiomyopathy MONDO:0005021</t>
  </si>
  <si>
    <t>ENSG00000136451</t>
  </si>
  <si>
    <t>HGNC:12949</t>
  </si>
  <si>
    <t>RPGRIP1</t>
  </si>
  <si>
    <t>Leber congenital amaurosis 6	(MIM#613826)</t>
  </si>
  <si>
    <t>ENSG00000092200</t>
  </si>
  <si>
    <t>HGNC:13436</t>
  </si>
  <si>
    <t>Cone-Rod Dystrophy; Leber Congenital Amaurosis</t>
  </si>
  <si>
    <t>RPGRIP1L</t>
  </si>
  <si>
    <t>Joubert syndrome 7, MIM# 611560;Meckel syndrome 5, MIM# 611561;COACH syndrome 3, MIM# 619113;Nephronophthisis</t>
  </si>
  <si>
    <t>ENSG00000103494</t>
  </si>
  <si>
    <t>HGNC:29168</t>
  </si>
  <si>
    <t>COACH Syndrome; Joubert Syndrome; Meckel-Gruber Syndrome</t>
  </si>
  <si>
    <t>SCAPER</t>
  </si>
  <si>
    <t>Intellectual developmental disorder and retinitis pigmentosa, OMIM #618195;Bardet-Biedl syndrome</t>
  </si>
  <si>
    <t>ENSG00000140386</t>
  </si>
  <si>
    <t>HGNC:13081</t>
  </si>
  <si>
    <t>Expert Review;Expert Review Green;Literature</t>
  </si>
  <si>
    <t>SCLT1</t>
  </si>
  <si>
    <t>Orofaciodigital syndrome type IX;Senior-Loken syndrome</t>
  </si>
  <si>
    <t>ENSG00000151466</t>
  </si>
  <si>
    <t>HGNC:26406</t>
  </si>
  <si>
    <t>Bardet-Biedl Syndrome; Retinal Dystrophy/Degeneration; Senior-Løken Syndrome</t>
  </si>
  <si>
    <t>basal body; centrosome; cilia; transition zone</t>
  </si>
  <si>
    <t>SCNM1</t>
  </si>
  <si>
    <t>Orofaciodigital syndrome 19, MONDO:0859310</t>
  </si>
  <si>
    <t>ENSG00000163156</t>
  </si>
  <si>
    <t>HGNC:23136</t>
  </si>
  <si>
    <t>nucleus; minor spliceosome</t>
  </si>
  <si>
    <t>SDCCAG8</t>
  </si>
  <si>
    <t>Bardet-Biedl syndrome 16, MIM# 615993;MONDO:0014444;Senior-Loken syndrome 7, MIM# 613615;MONDO:0013326;Nephronophthisis</t>
  </si>
  <si>
    <t>ENSG00000054282</t>
  </si>
  <si>
    <t>HGNC:10671</t>
  </si>
  <si>
    <t>Bardet-Biedl Syndrome; Nephronophthisis; Senior-Løken Syndrome</t>
  </si>
  <si>
    <t>SUFU</t>
  </si>
  <si>
    <t>Joubert syndrome 32, MIM#617757;Neurodevelopmental disorder, MONDO:0700092, SUFU-related</t>
  </si>
  <si>
    <t>ENSG00000107882</t>
  </si>
  <si>
    <t>HGNC:16466</t>
  </si>
  <si>
    <t>Joubert Syndrome; Medulloblastoma</t>
  </si>
  <si>
    <t>Primary Ciliopathies; Secondary Diseases</t>
  </si>
  <si>
    <t>cilia; lysosomes; nucleus</t>
  </si>
  <si>
    <t>TBC1D32</t>
  </si>
  <si>
    <t>Orofaciodigital syndrome type IX, MIM#258865;Alsahan-Harris syndrome, MIM#621307;Retinitis pigmentosa 100, MIM# 621280</t>
  </si>
  <si>
    <t>ENSG00000146350</t>
  </si>
  <si>
    <t>HGNC:21485</t>
  </si>
  <si>
    <t>Orofaciodigital Syndrome; RHYNS Syndrome; Retinal Dystrophy/Degeneration; Usher Syndrome</t>
  </si>
  <si>
    <t>TCTN1</t>
  </si>
  <si>
    <t>Joubert syndrome 13, MIM# 614173;MONDO:0013608</t>
  </si>
  <si>
    <t>ENSG00000204852</t>
  </si>
  <si>
    <t>HGNC:26113</t>
  </si>
  <si>
    <t>Joubert Syndrome; Meckel-Gruber Syndrome; Nephronophthisis; Orofaciodigital Syndrome</t>
  </si>
  <si>
    <t>lysosomes; transition zone</t>
  </si>
  <si>
    <t>TCTN2</t>
  </si>
  <si>
    <t>Joubert syndrome 24, MIM# 616654;MONDO:0014724;Meckel syndrome 8, MIM# 613885;MONDO:0013482</t>
  </si>
  <si>
    <t>ENSG00000168778</t>
  </si>
  <si>
    <t>HGNC:25774</t>
  </si>
  <si>
    <t>cilia; lysosomes; transition zone</t>
  </si>
  <si>
    <t>TCTN3</t>
  </si>
  <si>
    <t>Joubert syndrome 18, MIM# 614815;MONDO:0013896;Orofaciodigital syndrome IV, MIM# 258860;Mohr-Majewski syndrome;Meckel-Gruber syndrome</t>
  </si>
  <si>
    <t>ENSG00000119977</t>
  </si>
  <si>
    <t>HGNC:24519</t>
  </si>
  <si>
    <t>Joubert Syndrome; Meckel-Gruber Syndrome; Orofaciodigital Syndrome</t>
  </si>
  <si>
    <t>TMEM107</t>
  </si>
  <si>
    <t>Meckel syndrome 13 (MIM#617562);Orofaciodigital syndrome XVI (MIM#617563);Joubert syndrome 29 617562</t>
  </si>
  <si>
    <t>ENSG00000179029</t>
  </si>
  <si>
    <t>HGNC:28128</t>
  </si>
  <si>
    <t>TMEM138</t>
  </si>
  <si>
    <t>Joubert syndrome 16, MIM# 614465;MONDO:0013764</t>
  </si>
  <si>
    <t>ENSG00000149483</t>
  </si>
  <si>
    <t>HGNC:26944</t>
  </si>
  <si>
    <t>TMEM17</t>
  </si>
  <si>
    <t>Meckel syndrome MONDO:0018921, TMEM17-related</t>
  </si>
  <si>
    <t>ENSG00000186889</t>
  </si>
  <si>
    <t>HGNC:26623</t>
  </si>
  <si>
    <t>TMEM216</t>
  </si>
  <si>
    <t>Joubert syndrome 2, MIM# 608091;MONDO:0011963;Meckel syndrome 2, MIM# 603194;MONDO:0011296</t>
  </si>
  <si>
    <t>ENSG00000187049</t>
  </si>
  <si>
    <t>HGNC:25018</t>
  </si>
  <si>
    <t>Joubert Syndrome; Meckel-Gruber Syndrome; Nephronophthisis; Retinal Dystrophy/Degeneration</t>
  </si>
  <si>
    <t>TMEM218</t>
  </si>
  <si>
    <t>Joubert syndrome 39, MIM#619562;retinal dystrophy;polycystic kidneys;occipital encephalocele</t>
  </si>
  <si>
    <t>ENSG00000150433</t>
  </si>
  <si>
    <t>HGNC:27344</t>
  </si>
  <si>
    <t>TMEM231</t>
  </si>
  <si>
    <t>Joubert syndrome 20, MIM# 614970;MONDO:0013994;Meckel syndrome 11, MIM# 615397;MONDO:0014164</t>
  </si>
  <si>
    <t>ENSG00000205084</t>
  </si>
  <si>
    <t>HGNC:37234</t>
  </si>
  <si>
    <t>TMEM237</t>
  </si>
  <si>
    <t>Joubert syndrome 14, MIM# 614424</t>
  </si>
  <si>
    <t>ENSG00000155755</t>
  </si>
  <si>
    <t>HGNC:14432</t>
  </si>
  <si>
    <t>TMEM67</t>
  </si>
  <si>
    <t>Joubert syndrome 6, MIM# 610688;Meckel syndrome 3, MIM# 607361;Nephronophthisis 11, MIM# 613550;COACH syndrome 1, MIM# 216360</t>
  </si>
  <si>
    <t>ENSG00000164953</t>
  </si>
  <si>
    <t>HGNC:28396</t>
  </si>
  <si>
    <t>Autosomal Recessive Polycystic Kidney Disease; Bardet-Biedl Syndrome; COACH Syndrome; Joubert Syndrome; Meckel-Gruber Syndrome; Nephronophthisis; RHYNS Syndrome</t>
  </si>
  <si>
    <t>basal body; centrosome; cilia; lysosomes</t>
  </si>
  <si>
    <t>TOGARAM1</t>
  </si>
  <si>
    <t>Joubert syndrome 37, MIM#	619185</t>
  </si>
  <si>
    <t>ENSG00000198718</t>
  </si>
  <si>
    <t>HGNC:19959</t>
  </si>
  <si>
    <t>Joubert Syndrome; Neural tube defects with ciliary dysfunction</t>
  </si>
  <si>
    <t>TRAF3IP1</t>
  </si>
  <si>
    <t>Senior-Loken syndrome 9, MIM# 616629;MONDO:0014712</t>
  </si>
  <si>
    <t>ENSG00000204104</t>
  </si>
  <si>
    <t>HGNC:17861</t>
  </si>
  <si>
    <t>IFT54</t>
  </si>
  <si>
    <t>TTC21B</t>
  </si>
  <si>
    <t>Nephronophthisis 12, MIM# 613820;Short-rib thoracic dysplasia 4 with or without polydactyly, MIM# 613819;Joubert syndrome</t>
  </si>
  <si>
    <t>ENSG00000123607</t>
  </si>
  <si>
    <t>HGNC:25660</t>
  </si>
  <si>
    <t>Bardet-Biedl Syndrome; Bilateral Polycystic Kidney Disease; Joubert Syndrome; Nephronophthisis; Short-Rib Thoracic Dysplasia; Skeletal Ciliopathy</t>
  </si>
  <si>
    <t>Bardet-Biedl Syndrome: A truncating TTC21B variant was found as a third allele in a patient with BBS and homozygous BBS2 variants (PMID 38671463), and TTC21B contributes modifying alleles across ciliopathies (PMID 21258341). A BBS registry study refers to TTC21B as a new candidate BBS gene associated with kidney failure (PMID 35112343). | Bilateral Polycystic Kidney Disease: Compound heterozygous TTC21B missense variants were reported in a single Japanese boy with end-stage renal disease due to medullary polycystic kidney disease and focal segmental glomerulosclerosis (PMID 32238723).</t>
  </si>
  <si>
    <t>TTC8</t>
  </si>
  <si>
    <t>Bardet-Biedl syndrome 8, MIM# 615985</t>
  </si>
  <si>
    <t>ENSG00000165533</t>
  </si>
  <si>
    <t>HGNC:20087</t>
  </si>
  <si>
    <t>basal body; centrosome; flagella</t>
  </si>
  <si>
    <t>TULP1</t>
  </si>
  <si>
    <t>Retinitis pigmentosa 14 M(MIM#600132)</t>
  </si>
  <si>
    <t>ENSG00000112041</t>
  </si>
  <si>
    <t>HGNC:12423</t>
  </si>
  <si>
    <t>Leber Congenital Amaurosis; Retinal Dystrophy/Degeneration</t>
  </si>
  <si>
    <t>TXNDC15</t>
  </si>
  <si>
    <t>Meckel syndrome 14, MIM# 619879</t>
  </si>
  <si>
    <t>ENSG00000113621</t>
  </si>
  <si>
    <t>HGNC:20652</t>
  </si>
  <si>
    <t>Expert Review;Expert Review Green;Literature;Victorian Clinical Genetics Services</t>
  </si>
  <si>
    <t>UMOD</t>
  </si>
  <si>
    <t>Glomerulocystic kidney disease with hyperuricemia and isosthenuria (MIM#609886);Hyperuricemic nephropathy, familial juvenile 1 (MIM#162000);Medullary cystic kidney disease 2 (MIM#603860)</t>
  </si>
  <si>
    <t>ENSG00000169344</t>
  </si>
  <si>
    <t>HGNC:12559</t>
  </si>
  <si>
    <t>Autosomal Dominant Tubulointerstitial Kidney Disease</t>
  </si>
  <si>
    <t>primary cilia; apical membrane; mitotic spindle pole</t>
  </si>
  <si>
    <t>WDPCP</t>
  </si>
  <si>
    <t>Bardet-Biedl syndrome 15, MIM# 615992;OFD;Congenital heart defects, hamartomas of tongue, and polysyndactyly, 217085</t>
  </si>
  <si>
    <t>ENSG00000143951</t>
  </si>
  <si>
    <t>HGNC:28027</t>
  </si>
  <si>
    <t>WDR19</t>
  </si>
  <si>
    <t>Nephronophthisis 13, MIM# 614377;Senior-Loken syndrome 8, MIM# 616307;Short-rib thoracic dysplasia 5 with or without polydactyly, MIM# 614376;Cranioectodermal dysplasia 4, MIM# 614378</t>
  </si>
  <si>
    <t>ENSG00000157796</t>
  </si>
  <si>
    <t>HGNC:18340</t>
  </si>
  <si>
    <t>Cranioectodermal Dysplasia (Sensenbrenner); Nephronophthisis; Senior-Løken Syndrome; Short-Rib Thoracic Dysplasia; Skeletal Ciliopathy</t>
  </si>
  <si>
    <t>WDR35</t>
  </si>
  <si>
    <t>Cranioectodermal dysplasia 2, MIM#613610;MONDO:0013323;Short-rib thoracic dysplasia 7 with or without polydactyly, MIM#614091;MONDO:0013569</t>
  </si>
  <si>
    <t>ENSG00000118965</t>
  </si>
  <si>
    <t>HGNC:29250</t>
  </si>
  <si>
    <t>Cranioectodermal Dysplasia (Sensenbrenner); Ellis-van Creveld Syndrome; Retinal Dystrophy/Degeneration; Short-Rib Thoracic Dysplasia; Skeletal Ciliopathy</t>
  </si>
  <si>
    <t>centrosome; cilia associated gene</t>
  </si>
  <si>
    <t>Retinal Dystrophy/Degeneration: Retinal degeneration was diagnosed at age 3.5 years in a single patient with cranioectodermal dysplasia and compound heterozygous WDR35 variants (PMID 35875935).</t>
  </si>
  <si>
    <t>WDR44</t>
  </si>
  <si>
    <t>Ciliopathy, MONDO:0005308, WDR44-related</t>
  </si>
  <si>
    <t>ENSG00000131725</t>
  </si>
  <si>
    <t>HGNC:30512</t>
  </si>
  <si>
    <t>WDR44-related X-linked Ciliopathy</t>
  </si>
  <si>
    <t>X-linked ciliopathy-related neurodevelopmental disorder (not Joubert syndrome); gain-of-function variants were reported earlier, and a loss-of-function promoter deletion was found in one male fetus (Sneddon et al. 2025, PMID 39235309).</t>
  </si>
  <si>
    <t>XPNPEP3</t>
  </si>
  <si>
    <t>Nephronophthisis-like nephropathy 1, OMIM #613159</t>
  </si>
  <si>
    <t>ENSG00000196236</t>
  </si>
  <si>
    <t>HGNC:28052</t>
  </si>
  <si>
    <t>cilia associated gene; lysosomes; mitochondria</t>
  </si>
  <si>
    <t>ZNF423</t>
  </si>
  <si>
    <t>Joubert syndrome 19, OMIM# 614844;Nephronophthisis 14, MIM# 614844</t>
  </si>
  <si>
    <t>ENSG00000102935</t>
  </si>
  <si>
    <t>HGNC:16762</t>
  </si>
  <si>
    <t>nucleus; transition zone</t>
  </si>
  <si>
    <t>ADAMTS9</t>
  </si>
  <si>
    <t>Nephropathy-related ciliopathy, MONDO:0022409, ADAMTS9-related</t>
  </si>
  <si>
    <t>ENSG00000163638</t>
  </si>
  <si>
    <t>HGNC:13202</t>
  </si>
  <si>
    <t>basal body; lysosomes</t>
  </si>
  <si>
    <t>CCDC28B</t>
  </si>
  <si>
    <t>Other</t>
  </si>
  <si>
    <t>{Bardet-Biedl syndrome 1, modifier of}, MIM#209900;Joubert syndrome</t>
  </si>
  <si>
    <t>ENSG00000160050</t>
  </si>
  <si>
    <t>HGNC:28163</t>
  </si>
  <si>
    <t>CEP43</t>
  </si>
  <si>
    <t>Ciliopathy, MONDO:0005308, CEP43-related</t>
  </si>
  <si>
    <t>ENSG00000213066</t>
  </si>
  <si>
    <t>HGNC:17012</t>
  </si>
  <si>
    <t>Likely pathogenic CEP43 variants were identified in three previously unsolved primary ciliopathy cases by network-based prioritization (PMID 41715205); Joubert syndrome is not stated in the abstract.</t>
  </si>
  <si>
    <t>CEP55</t>
  </si>
  <si>
    <t>Multinucleated neurons, anhydramnios, renal dysplasia, cerebellar hypoplasia, and hydranencephaly, MIM# 236500</t>
  </si>
  <si>
    <t>ENSG00000138180</t>
  </si>
  <si>
    <t>HGNC:1161</t>
  </si>
  <si>
    <t>MARCH Syndrome; Meckel-Gruber Syndrome</t>
  </si>
  <si>
    <t>FGF4</t>
  </si>
  <si>
    <t>Short-rib thoracic dysplasia 22 without polydactyly, MIM# 621260</t>
  </si>
  <si>
    <t>ENSG00000075388</t>
  </si>
  <si>
    <t>HGNC:3682</t>
  </si>
  <si>
    <t>IFT57</t>
  </si>
  <si>
    <t>Bardet-Bield syndrome;ciliopathy - MONDO:0005308</t>
  </si>
  <si>
    <t>ENSG00000114446</t>
  </si>
  <si>
    <t>HGNC:17367</t>
  </si>
  <si>
    <t>Bardet-Biedl Syndrome; Orofaciodigital Syndrome</t>
  </si>
  <si>
    <t>Bardet-Biedl Syndrome: Compound heterozygous IFT57 variants (p.Val397Glu and p.Lys225Asnfs*17) were reported in a single 29-year-old man with a clinical diagnosis of BBS, with functional cilia defects shown in patient fibroblasts and knockout cell lines (PMID 40273360). | Orofaciodigital Syndrome: A homozygous hypomorphic splice-affecting IFT57 variant was identified by homozygosity mapping and exome sequencing in one consanguineous family with unclassified OFD with skeletal dysplasia, with reduced anterograde ciliary transport and Hedgehog signaling in patient fibroblasts (PMID 27060890). Screening of 13 further OFD subjects was negative (PMID 27060890).</t>
  </si>
  <si>
    <t>KIF3B</t>
  </si>
  <si>
    <t>hepatic fibrosis;retinitis pigmentosa;postaxial polydactyly;Retinitis pigmentosa 89, MIM#618955</t>
  </si>
  <si>
    <t>ENSG00000101350</t>
  </si>
  <si>
    <t>HGNC:6320</t>
  </si>
  <si>
    <t>Biliary Atresia; Retinal Dystrophy/Degeneration</t>
  </si>
  <si>
    <t>centrosome; cilia; cytosol; endosome</t>
  </si>
  <si>
    <t>Biliary atresia: KIF3B was among ciliary genes with rare deleterious variants in a nonsyndromic biliary atresia exome cohort, with absent cilia in patient liver (PMID 34455394); association, not an established monogenic cause.</t>
  </si>
  <si>
    <t>PRKCSH</t>
  </si>
  <si>
    <t>Polycystic liver disease 1 (MIM#174050)</t>
  </si>
  <si>
    <t>ENSG00000130175</t>
  </si>
  <si>
    <t>HGNC:9411</t>
  </si>
  <si>
    <t>Polycystic Liver Disease</t>
  </si>
  <si>
    <t>Ciliary associated gene; Endoplasmic reticulum</t>
  </si>
  <si>
    <t>PRKCSH splice mutations segregated with polycystic liver disease in 4 Dutch families (PMID 12577059), and chain-terminating PRKCSH mutations segregated with isolated ADPLD in additional kindreds (PMID 12529853); PRKCSH knockout cholangiocytes showed defective ciliogenesis (PMID 28973524).</t>
  </si>
  <si>
    <t>SBDS</t>
  </si>
  <si>
    <t>Shwachman-Diamond syndrome, MIM# 260400</t>
  </si>
  <si>
    <t>ENSG00000126524</t>
  </si>
  <si>
    <t>HGNC:19440</t>
  </si>
  <si>
    <t>SEC63</t>
  </si>
  <si>
    <t>Polycystic liver disease 2 (MIM#617004)</t>
  </si>
  <si>
    <t>ENSG00000025796</t>
  </si>
  <si>
    <t>HGNC:21082</t>
  </si>
  <si>
    <t>Mutations in SEC63 were reported to cause autosomal dominant polycystic liver disease (PMID 15133510), and SEC63 knockout cholangiocytes showed defective ciliogenesis (PMID 28973524).</t>
  </si>
  <si>
    <t>SLC30A7</t>
  </si>
  <si>
    <t>Joubert syndrome (MONDO:0018772), SLC30A7-related</t>
  </si>
  <si>
    <t>ENSG00000162695</t>
  </si>
  <si>
    <t>HGNC:19306</t>
  </si>
  <si>
    <t>TAPT1</t>
  </si>
  <si>
    <t>Osteochondrodysplasia, complex lethal, Symoens-Barnes-Gistelinck type (MIM#616897)</t>
  </si>
  <si>
    <t>ENSG00000169762</t>
  </si>
  <si>
    <t>HGNC:26887</t>
  </si>
  <si>
    <t>Complex Lethal Osteochondrodysplasia</t>
  </si>
  <si>
    <t>TOPORS</t>
  </si>
  <si>
    <t>ciliopathy, MONDO:0005308, TOPORS-associated;postaxial polydactyly, MONDO:0020927, TOPORS-related;multiple lingual hamartomas</t>
  </si>
  <si>
    <t>ENSG00000197579</t>
  </si>
  <si>
    <t>HGNC:21653</t>
  </si>
  <si>
    <t>Joubert Syndrome; Retinal Dystrophy/Degeneration</t>
  </si>
  <si>
    <t>VPS13B</t>
  </si>
  <si>
    <t>Cohen syndrome (MIM#	216550)</t>
  </si>
  <si>
    <t>ENSG00000132549</t>
  </si>
  <si>
    <t>HGNC:2183</t>
  </si>
  <si>
    <t>ZSWIM6</t>
  </si>
  <si>
    <t>Acromelic frontonasal dysostosis (MIM#603671);Neurodevelopmental disorder with movement abnormalities, abnormal gait, and autistic features, MIM#	617865</t>
  </si>
  <si>
    <t>ENSG00000130449</t>
  </si>
  <si>
    <t>HGNC:29316</t>
  </si>
  <si>
    <t>ACVR2B</t>
  </si>
  <si>
    <t>Heterotaxy, visceral, 4, autosomal 613751</t>
  </si>
  <si>
    <t>ENSG00000114739</t>
  </si>
  <si>
    <t>HGNC:174</t>
  </si>
  <si>
    <t>ARMC8</t>
  </si>
  <si>
    <t>Unknown</t>
  </si>
  <si>
    <t>ENSG00000114098</t>
  </si>
  <si>
    <t>HGNC:24999</t>
  </si>
  <si>
    <t>CEP19</t>
  </si>
  <si>
    <t>Bardet-Biedl syndorme</t>
  </si>
  <si>
    <t>ENSG00000174007</t>
  </si>
  <si>
    <t>HGNC:28209</t>
  </si>
  <si>
    <t>Expert list;Expert Review Red;Literature</t>
  </si>
  <si>
    <t>Ciliary Monogenic Obesity; Male Infertility; Morbid Obesity and Spermatogenic Failure</t>
  </si>
  <si>
    <t>CFC1</t>
  </si>
  <si>
    <t>Heterotaxy, visceral, 2, autosomal 605376</t>
  </si>
  <si>
    <t>ENSG00000136698</t>
  </si>
  <si>
    <t>HGNC:18292</t>
  </si>
  <si>
    <t>Loss-of-function CFC1 mutations were identified in patients with heterotaxy and were functionally defective in a zebrafish rescue assay (PMID 11062482), and two disease-related CFC1 mutations were found among 86 patients with transposition of the great arteries or double-outlet right ventricle (PMID 11799476).</t>
  </si>
  <si>
    <t>CLUAP1</t>
  </si>
  <si>
    <t>Leber congenital amaurosis, MONDO:0018998, CLUAP1-related;Ciliopathy, MONDO:0005308, CLUAP1-related</t>
  </si>
  <si>
    <t>ENSG00000103351</t>
  </si>
  <si>
    <t>HGNC:19009</t>
  </si>
  <si>
    <t>IFT38</t>
  </si>
  <si>
    <t>CRELD1</t>
  </si>
  <si>
    <t>Atrioventricular septal defect, partial, with heterotaxy syndrome 606217</t>
  </si>
  <si>
    <t>ENSG00000163703</t>
  </si>
  <si>
    <t>HGNC:14630</t>
  </si>
  <si>
    <t>DNAJC16</t>
  </si>
  <si>
    <t>ciliopathy, MONDO:0005308</t>
  </si>
  <si>
    <t>ENSG00000116138</t>
  </si>
  <si>
    <t>HGNC:29157</t>
  </si>
  <si>
    <t>GDF1</t>
  </si>
  <si>
    <t>Congenital heart defects, multiple types, 6 613854;Right atrial isomerism (Ivemark) 208530</t>
  </si>
  <si>
    <t>ENSG00000130283</t>
  </si>
  <si>
    <t>HGNC:4214</t>
  </si>
  <si>
    <t>MUC1</t>
  </si>
  <si>
    <t>Medullary cystic kidney disease 1 (MIM#174000)</t>
  </si>
  <si>
    <t>ENSG00000185499</t>
  </si>
  <si>
    <t>HGNC:7508</t>
  </si>
  <si>
    <t>basal body; cilia; lysosomes; nucleus</t>
  </si>
  <si>
    <t>NODAL</t>
  </si>
  <si>
    <t>Heterotaxy, visceral, 5 (MIM#270100)</t>
  </si>
  <si>
    <t>ENSG00000156574</t>
  </si>
  <si>
    <t>HGNC:7865</t>
  </si>
  <si>
    <t>Rare NODAL variants were found in 14 of 269 unrelated subjects with heterotaxy or looping cardiovascular malformations, with missense variants showing impaired signaling (PMID 19064609); a heterozygous NODAL missense variant was reported in one patient with visceral heterotaxy and embolic stroke (PMID 38605286).</t>
  </si>
  <si>
    <t>PMM2</t>
  </si>
  <si>
    <t>Congenital disorder of glycosylation, type Ia (MIM#212065)</t>
  </si>
  <si>
    <t>ENSG00000140650</t>
  </si>
  <si>
    <t>HGNC:9115</t>
  </si>
  <si>
    <t>Polycystic Kidney Disease</t>
  </si>
  <si>
    <t>Bronchiectasis with or without elevated sweat chloride 3 (MIM#613071);Liddle syndrome 2 (MIM#618114);Pseudohypoaldosteronism, type I (MIM#264350)</t>
  </si>
  <si>
    <t>TRIM32</t>
  </si>
  <si>
    <t>Bardet-Biedl syndrome 11, MIM# 615988</t>
  </si>
  <si>
    <t>ENSG00000119401</t>
  </si>
  <si>
    <t>HGNC:16380</t>
  </si>
  <si>
    <t>basal body; cytosol; nucleus</t>
  </si>
  <si>
    <t>WDR81</t>
  </si>
  <si>
    <t>Cerebellar ataxia, mental retardation, and dysequilibrium syndrome 2	610185;Hydrocephalus, congenital, 3, with brain anomalies	617967</t>
  </si>
  <si>
    <t>ENSG00000167716</t>
  </si>
  <si>
    <t>HGNC:26600</t>
  </si>
  <si>
    <t>Expert list;Expert Review Red;Victorian Clinical Genetics Services</t>
  </si>
  <si>
    <t>ZIC3</t>
  </si>
  <si>
    <t>Heterotaxy, visceral, 1, X-linked (MIM#306955)</t>
  </si>
  <si>
    <t>ENSG00000156925</t>
  </si>
  <si>
    <t>HGNC:12874</t>
  </si>
  <si>
    <t>ZIC3 was positionally cloned at the HTX1 locus, with frameshift, missense and nonsense mutations in familial and sporadic situs ambiguus, and described as the first gene unequivocally associated with human situs abnormalities (PMID 9354794). A ZIC3 nonsense mutation was also reported in a family with X-linked transposition of the great arteries and incomplete male penetrance (PMID 10980576).</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</si>
</sst>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
  </numFmts>
  <fonts count="10">
    <font>
      <sz val="11.0"/>
      <color theme="1"/>
      <name val="Calibri"/>
      <scheme val="minor"/>
    </font>
    <font>
      <b/>
      <sz val="12.0"/>
      <color theme="1"/>
      <name val="Cambria"/>
    </font>
    <font>
      <b/>
      <sz val="11.0"/>
      <color rgb="FFFFFFFF"/>
      <name val="Cambria"/>
    </font>
    <font>
      <sz val="11.0"/>
      <color theme="1"/>
      <name val="Calibri"/>
    </font>
    <font>
      <b/>
      <sz val="11.0"/>
      <color theme="0"/>
      <name val="Cambria"/>
    </font>
    <font>
      <b/>
      <sz val="11.0"/>
      <color rgb="FF000000"/>
      <name val="Cambria"/>
    </font>
    <font>
      <sz val="11.0"/>
      <color theme="1"/>
      <name val="Cambria"/>
    </font>
    <font>
      <sz val="11.0"/>
      <color theme="0"/>
      <name val="Cambria"/>
    </font>
    <font>
      <b/>
      <sz val="11.0"/>
      <color theme="1"/>
      <name val="Cambria"/>
    </font>
    <font>
      <sz val="11.0"/>
      <color rgb="FF000000"/>
      <name val="Calibri"/>
    </font>
  </fonts>
  <fills count="3">
    <fill>
      <patternFill patternType="none"/>
    </fill>
    <fill>
      <patternFill patternType="lightGray"/>
    </fill>
    <fill>
      <patternFill patternType="solid">
        <fgColor rgb="FF1F3A5F"/>
        <bgColor rgb="FF1F3A5F"/>
      </patternFill>
    </fill>
  </fills>
  <borders count="2">
    <border/>
    <border>
      <left/>
      <right/>
      <top/>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left" shrinkToFit="0" vertical="center" wrapText="1"/>
    </xf>
    <xf borderId="0" fillId="0" fontId="3" numFmtId="0" xfId="0" applyFont="1"/>
    <xf borderId="1" fillId="2" fontId="4" numFmtId="0" xfId="0" applyAlignment="1" applyBorder="1" applyFill="1" applyFont="1">
      <alignment horizontal="left" shrinkToFit="0" vertical="center" wrapText="1"/>
    </xf>
    <xf borderId="1" fillId="2" fontId="4" numFmtId="0" xfId="0" applyAlignment="1" applyBorder="1" applyFill="1" applyFont="1">
      <alignment horizontal="left" vertical="center"/>
    </xf>
    <xf borderId="1" fillId="0" fontId="5" numFmtId="0" xfId="0" applyAlignment="1" applyBorder="1" applyFont="1">
      <alignment horizontal="left" vertical="center"/>
    </xf>
    <xf borderId="1" fillId="0" fontId="6" numFmtId="0" xfId="0" applyAlignment="1" applyBorder="1" applyFont="1">
      <alignment horizontal="left" vertical="center"/>
    </xf>
    <xf borderId="0" fillId="0" fontId="3" numFmtId="0" xfId="0" applyAlignment="1" applyFont="1">
      <alignment vertical="top"/>
    </xf>
    <xf borderId="1" fillId="0" fontId="7" numFmtId="0" xfId="0" applyAlignment="1" applyBorder="1" applyFont="1">
      <alignment horizontal="left" vertical="center"/>
    </xf>
    <xf borderId="0" fillId="0" fontId="8" numFmtId="0" xfId="0" applyFont="1"/>
    <xf borderId="0" fillId="0" fontId="3" numFmtId="0" xfId="0" applyAlignment="1" applyFont="1">
      <alignment shrinkToFit="0" vertical="top" wrapText="1"/>
    </xf>
    <xf borderId="0" fillId="0" fontId="9" numFmtId="0" xfId="0" applyFont="1"/>
    <xf borderId="0" fillId="0" fontId="8" numFmtId="164" xfId="0" applyFont="1" applyNumberFormat="1"/>
    <xf borderId="0" fillId="0" fontId="8" numFmtId="165" xfId="0" applyFont="1" applyNumberFormat="1"/>
    <xf borderId="0" fillId="0" fontId="8" numFmtId="11" xfId="0" applyFont="1" applyNumberFormat="1"/>
    <xf borderId="0" fillId="0" fontId="3" numFmtId="164" xfId="0" applyFont="1" applyNumberFormat="1"/>
    <xf borderId="0" fillId="0" fontId="3" numFmtId="165" xfId="0" applyFont="1" applyNumberFormat="1"/>
    <xf borderId="0" fillId="0" fontId="3" numFmtId="11"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0"/>
    <col customWidth="1" min="2" max="6" width="8.71"/>
  </cols>
  <sheetData>
    <row r="1">
      <c r="A1" s="1" t="s">
        <v>0</v>
      </c>
    </row>
    <row r="3">
      <c r="A3" s="3" t="s">
        <v>3</v>
      </c>
    </row>
    <row r="4">
      <c r="A4" s="3" t="s">
        <v>8</v>
      </c>
    </row>
    <row r="5">
      <c r="A5" s="3" t="s">
        <v>10</v>
      </c>
    </row>
    <row r="6">
      <c r="A6" s="3" t="s">
        <v>13</v>
      </c>
    </row>
    <row r="8">
      <c r="A8" s="3" t="s">
        <v>16</v>
      </c>
    </row>
    <row r="9">
      <c r="A9" s="3" t="s">
        <v>20</v>
      </c>
    </row>
    <row r="10">
      <c r="A10" s="3" t="s">
        <v>22</v>
      </c>
    </row>
    <row r="12">
      <c r="A12" s="3" t="s">
        <v>23</v>
      </c>
    </row>
    <row r="13">
      <c r="A13" s="3" t="s">
        <v>25</v>
      </c>
    </row>
    <row r="14">
      <c r="A14" s="3" t="s">
        <v>28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4.14"/>
    <col customWidth="1" min="2" max="2" width="20.0"/>
    <col customWidth="1" min="3" max="3" width="14.0"/>
    <col customWidth="1" min="4" max="4" width="8.0"/>
    <col customWidth="1" min="5" max="5" width="11.0"/>
    <col customWidth="1" min="6" max="6" width="12.0"/>
    <col customWidth="1" min="7" max="7" width="13.0"/>
    <col customWidth="1" min="8" max="11" width="14.0"/>
    <col customWidth="1" min="12" max="12" width="16.0"/>
    <col customWidth="1" min="13" max="13" width="14.0"/>
    <col customWidth="1" min="14" max="14" width="16.0"/>
  </cols>
  <sheetData>
    <row r="1">
      <c r="A1" s="2" t="s">
        <v>1</v>
      </c>
      <c r="B1" s="2" t="s">
        <v>19</v>
      </c>
      <c r="C1" s="2" t="s">
        <v>4</v>
      </c>
      <c r="D1" s="2" t="s">
        <v>24</v>
      </c>
      <c r="E1" s="2" t="s">
        <v>12</v>
      </c>
      <c r="F1" s="2" t="s">
        <v>30</v>
      </c>
      <c r="G1" s="2" t="s">
        <v>31</v>
      </c>
      <c r="H1" s="2" t="s">
        <v>32</v>
      </c>
      <c r="I1" s="2" t="s">
        <v>18</v>
      </c>
      <c r="J1" s="2" t="s">
        <v>33</v>
      </c>
      <c r="K1" s="2" t="s">
        <v>34</v>
      </c>
      <c r="L1" s="2" t="s">
        <v>35</v>
      </c>
      <c r="M1" s="2" t="s">
        <v>36</v>
      </c>
      <c r="N1" s="2" t="s">
        <v>37</v>
      </c>
    </row>
    <row r="2">
      <c r="A2" s="10" t="s">
        <v>42</v>
      </c>
      <c r="B2" s="10" t="s">
        <v>43</v>
      </c>
      <c r="C2" s="10" t="s">
        <v>39</v>
      </c>
      <c r="D2" s="10">
        <f>COUNTIFS(Ciliopathies!$B$2:$B$163,"Green")</f>
        <v>131</v>
      </c>
      <c r="E2" s="10">
        <f>COUNTIFS(Ciliopathies!$B$2:$B$163,"Green",Ciliopathies!$H$2:$H$163,"Yes")</f>
        <v>131</v>
      </c>
      <c r="F2" s="13">
        <f t="shared" ref="F2:F13" si="1">IF(D2=0,"",E2/D2)</f>
        <v>1</v>
      </c>
      <c r="G2" s="10">
        <f>COUNTIFS(Ciliopathies!$B$2:$B$163,"Green",Ciliopathies!$K$2:$K$163,"Gold-standard")</f>
        <v>125</v>
      </c>
      <c r="H2" s="10">
        <f>COUNTIFS(Ciliopathies!$B$2:$B$163,"Green",Ciliopathies!$K$2:$K$163,"Cilia-associated")</f>
        <v>6</v>
      </c>
      <c r="I2" s="10">
        <f>COUNTIFS(Ciliopathies!$B$2:$B$163,"Green",Ciliopathies!$L$2:$L$163,"Yes")</f>
        <v>126</v>
      </c>
      <c r="J2" s="13">
        <f t="shared" ref="J2:J13" si="2">IF(D2=0,"",I2/D2)</f>
        <v>0.9618320611</v>
      </c>
      <c r="K2" s="14">
        <f t="shared" ref="K2:K13" si="3">IF(D2=0,"",F2/($B$20/$B$19))</f>
        <v>6.899102334</v>
      </c>
      <c r="L2" s="15">
        <v>9.61E-112</v>
      </c>
      <c r="M2" s="14">
        <f t="shared" ref="M2:M13" si="4">IF(D2=0,"",J2/($B$21/$B$19))</f>
        <v>37.10972133</v>
      </c>
      <c r="N2" s="15">
        <v>1.64E-195</v>
      </c>
    </row>
    <row r="3">
      <c r="A3" s="3" t="s">
        <v>42</v>
      </c>
      <c r="B3" s="3" t="s">
        <v>43</v>
      </c>
      <c r="C3" s="3" t="s">
        <v>269</v>
      </c>
      <c r="D3" s="3">
        <f>COUNTIFS(Ciliopathies!$B$2:$B$163,"Amber")</f>
        <v>15</v>
      </c>
      <c r="E3" s="3">
        <f>COUNTIFS(Ciliopathies!$B$2:$B$163,"Amber",Ciliopathies!$H$2:$H$163,"Yes")</f>
        <v>13</v>
      </c>
      <c r="F3" s="16">
        <f t="shared" si="1"/>
        <v>0.8666666667</v>
      </c>
      <c r="G3" s="3">
        <f>COUNTIFS(Ciliopathies!$B$2:$B$163,"Amber",Ciliopathies!$K$2:$K$163,"Gold-standard")</f>
        <v>8</v>
      </c>
      <c r="H3" s="3">
        <f>COUNTIFS(Ciliopathies!$B$2:$B$163,"Amber",Ciliopathies!$K$2:$K$163,"Cilia-associated")</f>
        <v>5</v>
      </c>
      <c r="I3" s="3">
        <f>COUNTIFS(Ciliopathies!$B$2:$B$163,"Amber",Ciliopathies!$L$2:$L$163,"Yes")</f>
        <v>9</v>
      </c>
      <c r="J3" s="16">
        <f t="shared" si="2"/>
        <v>0.6</v>
      </c>
      <c r="K3" s="17">
        <f t="shared" si="3"/>
        <v>5.979222023</v>
      </c>
      <c r="L3" s="18">
        <v>9.63E-10</v>
      </c>
      <c r="M3" s="17">
        <f t="shared" si="4"/>
        <v>23.14939759</v>
      </c>
      <c r="N3" s="18">
        <v>3.8E-11</v>
      </c>
    </row>
    <row r="4">
      <c r="A4" s="3" t="s">
        <v>42</v>
      </c>
      <c r="B4" s="3" t="s">
        <v>43</v>
      </c>
      <c r="C4" s="3" t="s">
        <v>424</v>
      </c>
      <c r="D4" s="3">
        <f>COUNTIFS(Ciliopathies!$B$2:$B$163,"Red")</f>
        <v>16</v>
      </c>
      <c r="E4" s="3">
        <f>COUNTIFS(Ciliopathies!$B$2:$B$163,"Red",Ciliopathies!$H$2:$H$163,"Yes")</f>
        <v>12</v>
      </c>
      <c r="F4" s="16">
        <f t="shared" si="1"/>
        <v>0.75</v>
      </c>
      <c r="G4" s="3">
        <f>COUNTIFS(Ciliopathies!$B$2:$B$163,"Red",Ciliopathies!$K$2:$K$163,"Gold-standard")</f>
        <v>8</v>
      </c>
      <c r="H4" s="3">
        <f>COUNTIFS(Ciliopathies!$B$2:$B$163,"Red",Ciliopathies!$K$2:$K$163,"Cilia-associated")</f>
        <v>4</v>
      </c>
      <c r="I4" s="3">
        <f>COUNTIFS(Ciliopathies!$B$2:$B$163,"Red",Ciliopathies!$L$2:$L$163,"Yes")</f>
        <v>8</v>
      </c>
      <c r="J4" s="16">
        <f t="shared" si="2"/>
        <v>0.5</v>
      </c>
      <c r="K4" s="17">
        <f t="shared" si="3"/>
        <v>5.17432675</v>
      </c>
      <c r="L4" s="18">
        <v>8.7E-8</v>
      </c>
      <c r="M4" s="17">
        <f t="shared" si="4"/>
        <v>19.29116466</v>
      </c>
      <c r="N4" s="18">
        <v>3.42E-9</v>
      </c>
    </row>
    <row r="5">
      <c r="A5" s="3" t="s">
        <v>42</v>
      </c>
      <c r="B5" s="3" t="s">
        <v>43</v>
      </c>
      <c r="C5" s="3" t="s">
        <v>519</v>
      </c>
      <c r="D5" s="3">
        <f>COUNTIFS(Ciliopathies!$B$2:$B$163,"*")</f>
        <v>162</v>
      </c>
      <c r="E5" s="3">
        <f>COUNTIFS(Ciliopathies!$B$2:$B$163,"*",Ciliopathies!$H$2:$H$163,"Yes")</f>
        <v>156</v>
      </c>
      <c r="F5" s="16">
        <f t="shared" si="1"/>
        <v>0.962962963</v>
      </c>
      <c r="G5" s="3">
        <f>COUNTIFS(Ciliopathies!$B$2:$B$163,"*",Ciliopathies!$K$2:$K$163,"Gold-standard")</f>
        <v>141</v>
      </c>
      <c r="H5" s="3">
        <f>COUNTIFS(Ciliopathies!$B$2:$B$163,"*",Ciliopathies!$K$2:$K$163,"Cilia-associated")</f>
        <v>15</v>
      </c>
      <c r="I5" s="3">
        <f>COUNTIFS(Ciliopathies!$B$2:$B$163,"*",Ciliopathies!$L$2:$L$163,"Yes")</f>
        <v>143</v>
      </c>
      <c r="J5" s="16">
        <f t="shared" si="2"/>
        <v>0.8827160494</v>
      </c>
      <c r="K5" s="17">
        <f t="shared" si="3"/>
        <v>6.643580025</v>
      </c>
      <c r="L5" s="18">
        <v>3.17E-123</v>
      </c>
      <c r="M5" s="17">
        <f t="shared" si="4"/>
        <v>34.05724131</v>
      </c>
      <c r="N5" s="18">
        <v>2.79E-208</v>
      </c>
    </row>
    <row r="6">
      <c r="A6" s="10" t="s">
        <v>624</v>
      </c>
      <c r="B6" s="10" t="s">
        <v>43</v>
      </c>
      <c r="C6" s="10" t="s">
        <v>39</v>
      </c>
      <c r="D6" s="10">
        <f>COUNTIFS('Ciliary Dyskinesia'!$B$2:$B$78,"Green")</f>
        <v>54</v>
      </c>
      <c r="E6" s="10">
        <f>COUNTIFS('Ciliary Dyskinesia'!$B$2:$B$78,"Green",'Ciliary Dyskinesia'!$H$2:$H$78,"Yes")</f>
        <v>53</v>
      </c>
      <c r="F6" s="13">
        <f t="shared" si="1"/>
        <v>0.9814814815</v>
      </c>
      <c r="G6" s="10">
        <f>COUNTIFS('Ciliary Dyskinesia'!$B$2:$B$78,"Green",'Ciliary Dyskinesia'!$K$2:$K$78,"Gold-standard")</f>
        <v>50</v>
      </c>
      <c r="H6" s="10">
        <f>COUNTIFS('Ciliary Dyskinesia'!$B$2:$B$78,"Green",'Ciliary Dyskinesia'!$K$2:$K$78,"Cilia-associated")</f>
        <v>3</v>
      </c>
      <c r="I6" s="10">
        <f>COUNTIFS('Ciliary Dyskinesia'!$B$2:$B$78,"Green",'Ciliary Dyskinesia'!$L$2:$L$78,"Yes")</f>
        <v>52</v>
      </c>
      <c r="J6" s="13">
        <f t="shared" si="2"/>
        <v>0.962962963</v>
      </c>
      <c r="K6" s="14">
        <f t="shared" si="3"/>
        <v>6.77134118</v>
      </c>
      <c r="L6" s="15">
        <v>1.08E-43</v>
      </c>
      <c r="M6" s="14">
        <f t="shared" si="4"/>
        <v>37.15335416</v>
      </c>
      <c r="N6" s="15">
        <v>9.99E-80</v>
      </c>
    </row>
    <row r="7">
      <c r="A7" s="3" t="s">
        <v>624</v>
      </c>
      <c r="B7" s="3" t="s">
        <v>43</v>
      </c>
      <c r="C7" s="3" t="s">
        <v>269</v>
      </c>
      <c r="D7" s="3">
        <f>COUNTIFS('Ciliary Dyskinesia'!$B$2:$B$78,"Amber")</f>
        <v>10</v>
      </c>
      <c r="E7" s="3">
        <f>COUNTIFS('Ciliary Dyskinesia'!$B$2:$B$78,"Amber",'Ciliary Dyskinesia'!$H$2:$H$78,"Yes")</f>
        <v>5</v>
      </c>
      <c r="F7" s="16">
        <f t="shared" si="1"/>
        <v>0.5</v>
      </c>
      <c r="G7" s="3">
        <f>COUNTIFS('Ciliary Dyskinesia'!$B$2:$B$78,"Amber",'Ciliary Dyskinesia'!$K$2:$K$78,"Gold-standard")</f>
        <v>5</v>
      </c>
      <c r="H7" s="3">
        <f>COUNTIFS('Ciliary Dyskinesia'!$B$2:$B$78,"Amber",'Ciliary Dyskinesia'!$K$2:$K$78,"Cilia-associated")</f>
        <v>0</v>
      </c>
      <c r="I7" s="3">
        <f>COUNTIFS('Ciliary Dyskinesia'!$B$2:$B$78,"Amber",'Ciliary Dyskinesia'!$L$2:$L$78,"Yes")</f>
        <v>4</v>
      </c>
      <c r="J7" s="16">
        <f t="shared" si="2"/>
        <v>0.4</v>
      </c>
      <c r="K7" s="17">
        <f t="shared" si="3"/>
        <v>3.449551167</v>
      </c>
      <c r="L7" s="18">
        <v>0.00851</v>
      </c>
      <c r="M7" s="17">
        <f t="shared" si="4"/>
        <v>15.43293173</v>
      </c>
      <c r="N7" s="18">
        <v>1.06E-4</v>
      </c>
    </row>
    <row r="8">
      <c r="A8" s="3" t="s">
        <v>624</v>
      </c>
      <c r="B8" s="3" t="s">
        <v>43</v>
      </c>
      <c r="C8" s="3" t="s">
        <v>424</v>
      </c>
      <c r="D8" s="3">
        <f>COUNTIFS('Ciliary Dyskinesia'!$B$2:$B$78,"Red")</f>
        <v>13</v>
      </c>
      <c r="E8" s="3">
        <f>COUNTIFS('Ciliary Dyskinesia'!$B$2:$B$78,"Red",'Ciliary Dyskinesia'!$H$2:$H$78,"Yes")</f>
        <v>13</v>
      </c>
      <c r="F8" s="16">
        <f t="shared" si="1"/>
        <v>1</v>
      </c>
      <c r="G8" s="3">
        <f>COUNTIFS('Ciliary Dyskinesia'!$B$2:$B$78,"Red",'Ciliary Dyskinesia'!$K$2:$K$78,"Gold-standard")</f>
        <v>10</v>
      </c>
      <c r="H8" s="3">
        <f>COUNTIFS('Ciliary Dyskinesia'!$B$2:$B$78,"Red",'Ciliary Dyskinesia'!$K$2:$K$78,"Cilia-associated")</f>
        <v>3</v>
      </c>
      <c r="I8" s="3">
        <f>COUNTIFS('Ciliary Dyskinesia'!$B$2:$B$78,"Red",'Ciliary Dyskinesia'!$L$2:$L$78,"Yes")</f>
        <v>10</v>
      </c>
      <c r="J8" s="16">
        <f t="shared" si="2"/>
        <v>0.7692307692</v>
      </c>
      <c r="K8" s="17">
        <f t="shared" si="3"/>
        <v>6.899102334</v>
      </c>
      <c r="L8" s="18">
        <v>1.22E-11</v>
      </c>
      <c r="M8" s="17">
        <f t="shared" si="4"/>
        <v>29.67871486</v>
      </c>
      <c r="N8" s="18">
        <v>6.35E-14</v>
      </c>
    </row>
    <row r="9">
      <c r="A9" s="3" t="s">
        <v>624</v>
      </c>
      <c r="B9" s="3" t="s">
        <v>43</v>
      </c>
      <c r="C9" s="3" t="s">
        <v>519</v>
      </c>
      <c r="D9" s="3">
        <f>COUNTIFS('Ciliary Dyskinesia'!$B$2:$B$78,"*")</f>
        <v>77</v>
      </c>
      <c r="E9" s="3">
        <f>COUNTIFS('Ciliary Dyskinesia'!$B$2:$B$78,"*",'Ciliary Dyskinesia'!$H$2:$H$78,"Yes")</f>
        <v>71</v>
      </c>
      <c r="F9" s="16">
        <f t="shared" si="1"/>
        <v>0.9220779221</v>
      </c>
      <c r="G9" s="3">
        <f>COUNTIFS('Ciliary Dyskinesia'!$B$2:$B$78,"*",'Ciliary Dyskinesia'!$K$2:$K$78,"Gold-standard")</f>
        <v>65</v>
      </c>
      <c r="H9" s="3">
        <f>COUNTIFS('Ciliary Dyskinesia'!$B$2:$B$78,"*",'Ciliary Dyskinesia'!$K$2:$K$78,"Cilia-associated")</f>
        <v>6</v>
      </c>
      <c r="I9" s="3">
        <f>COUNTIFS('Ciliary Dyskinesia'!$B$2:$B$78,"*",'Ciliary Dyskinesia'!$L$2:$L$78,"Yes")</f>
        <v>66</v>
      </c>
      <c r="J9" s="16">
        <f t="shared" si="2"/>
        <v>0.8571428571</v>
      </c>
      <c r="K9" s="17">
        <f t="shared" si="3"/>
        <v>6.361509944</v>
      </c>
      <c r="L9" s="18">
        <v>1.27E-52</v>
      </c>
      <c r="M9" s="17">
        <f t="shared" si="4"/>
        <v>33.07056799</v>
      </c>
      <c r="N9" s="18">
        <v>1.16E-92</v>
      </c>
    </row>
    <row r="10">
      <c r="A10" s="10" t="s">
        <v>866</v>
      </c>
      <c r="B10" s="10" t="s">
        <v>867</v>
      </c>
      <c r="C10" s="10" t="s">
        <v>39</v>
      </c>
      <c r="D10" s="10">
        <f>COUNTIFS('Dilated Cardiomyopathy'!$B$2:$B$75,"Green")</f>
        <v>36</v>
      </c>
      <c r="E10" s="10">
        <f>COUNTIFS('Dilated Cardiomyopathy'!$B$2:$B$75,"Green",'Dilated Cardiomyopathy'!$H$2:$H$75,"Yes")</f>
        <v>8</v>
      </c>
      <c r="F10" s="13">
        <f t="shared" si="1"/>
        <v>0.2222222222</v>
      </c>
      <c r="G10" s="10">
        <f>COUNTIFS('Dilated Cardiomyopathy'!$B$2:$B$75,"Green",'Dilated Cardiomyopathy'!$K$2:$K$75,"Gold-standard")</f>
        <v>6</v>
      </c>
      <c r="H10" s="10">
        <f>COUNTIFS('Dilated Cardiomyopathy'!$B$2:$B$75,"Green",'Dilated Cardiomyopathy'!$K$2:$K$75,"Cilia-associated")</f>
        <v>2</v>
      </c>
      <c r="I10" s="10">
        <f>COUNTIFS('Dilated Cardiomyopathy'!$B$2:$B$75,"Green",'Dilated Cardiomyopathy'!$L$2:$L$75,"Yes")</f>
        <v>1</v>
      </c>
      <c r="J10" s="13">
        <f t="shared" si="2"/>
        <v>0.02777777778</v>
      </c>
      <c r="K10" s="14">
        <f t="shared" si="3"/>
        <v>1.533133852</v>
      </c>
      <c r="L10" s="15">
        <v>0.141</v>
      </c>
      <c r="M10" s="14">
        <f t="shared" si="4"/>
        <v>1.07173137</v>
      </c>
      <c r="N10" s="15">
        <v>0.636</v>
      </c>
    </row>
    <row r="11">
      <c r="A11" s="3" t="s">
        <v>866</v>
      </c>
      <c r="B11" s="3" t="s">
        <v>867</v>
      </c>
      <c r="C11" s="3" t="s">
        <v>269</v>
      </c>
      <c r="D11" s="3">
        <f>COUNTIFS('Dilated Cardiomyopathy'!$B$2:$B$75,"Amber")</f>
        <v>16</v>
      </c>
      <c r="E11" s="3">
        <f>COUNTIFS('Dilated Cardiomyopathy'!$B$2:$B$75,"Amber",'Dilated Cardiomyopathy'!$H$2:$H$75,"Yes")</f>
        <v>1</v>
      </c>
      <c r="F11" s="16">
        <f t="shared" si="1"/>
        <v>0.0625</v>
      </c>
      <c r="G11" s="3">
        <f>COUNTIFS('Dilated Cardiomyopathy'!$B$2:$B$75,"Amber",'Dilated Cardiomyopathy'!$K$2:$K$75,"Gold-standard")</f>
        <v>0</v>
      </c>
      <c r="H11" s="3">
        <f>COUNTIFS('Dilated Cardiomyopathy'!$B$2:$B$75,"Amber",'Dilated Cardiomyopathy'!$K$2:$K$75,"Cilia-associated")</f>
        <v>1</v>
      </c>
      <c r="I11" s="3">
        <f>COUNTIFS('Dilated Cardiomyopathy'!$B$2:$B$75,"Amber",'Dilated Cardiomyopathy'!$L$2:$L$75,"Yes")</f>
        <v>0</v>
      </c>
      <c r="J11" s="16">
        <f t="shared" si="2"/>
        <v>0</v>
      </c>
      <c r="K11" s="17">
        <f t="shared" si="3"/>
        <v>0.4311938959</v>
      </c>
      <c r="L11" s="18">
        <v>0.919</v>
      </c>
      <c r="M11" s="17">
        <f t="shared" si="4"/>
        <v>0</v>
      </c>
      <c r="N11" s="18">
        <v>1.0</v>
      </c>
    </row>
    <row r="12">
      <c r="A12" s="3" t="s">
        <v>866</v>
      </c>
      <c r="B12" s="3" t="s">
        <v>867</v>
      </c>
      <c r="C12" s="3" t="s">
        <v>424</v>
      </c>
      <c r="D12" s="3">
        <f>COUNTIFS('Dilated Cardiomyopathy'!$B$2:$B$75,"Red")</f>
        <v>22</v>
      </c>
      <c r="E12" s="3">
        <f>COUNTIFS('Dilated Cardiomyopathy'!$B$2:$B$75,"Red",'Dilated Cardiomyopathy'!$H$2:$H$75,"Yes")</f>
        <v>7</v>
      </c>
      <c r="F12" s="16">
        <f t="shared" si="1"/>
        <v>0.3181818182</v>
      </c>
      <c r="G12" s="3">
        <f>COUNTIFS('Dilated Cardiomyopathy'!$B$2:$B$75,"Red",'Dilated Cardiomyopathy'!$K$2:$K$75,"Gold-standard")</f>
        <v>4</v>
      </c>
      <c r="H12" s="3">
        <f>COUNTIFS('Dilated Cardiomyopathy'!$B$2:$B$75,"Red",'Dilated Cardiomyopathy'!$K$2:$K$75,"Cilia-associated")</f>
        <v>3</v>
      </c>
      <c r="I12" s="3">
        <f>COUNTIFS('Dilated Cardiomyopathy'!$B$2:$B$75,"Red",'Dilated Cardiomyopathy'!$L$2:$L$75,"Yes")</f>
        <v>1</v>
      </c>
      <c r="J12" s="16">
        <f t="shared" si="2"/>
        <v>0.04545454545</v>
      </c>
      <c r="K12" s="17">
        <f t="shared" si="3"/>
        <v>2.195168924</v>
      </c>
      <c r="L12" s="18">
        <v>0.0311</v>
      </c>
      <c r="M12" s="17">
        <f t="shared" si="4"/>
        <v>1.753742242</v>
      </c>
      <c r="N12" s="18">
        <v>0.46</v>
      </c>
    </row>
    <row r="13">
      <c r="A13" s="3" t="s">
        <v>866</v>
      </c>
      <c r="B13" s="3" t="s">
        <v>867</v>
      </c>
      <c r="C13" s="3" t="s">
        <v>519</v>
      </c>
      <c r="D13" s="3">
        <f>COUNTIFS('Dilated Cardiomyopathy'!$B$2:$B$75,"*")</f>
        <v>74</v>
      </c>
      <c r="E13" s="3">
        <f>COUNTIFS('Dilated Cardiomyopathy'!$B$2:$B$75,"*",'Dilated Cardiomyopathy'!$H$2:$H$75,"Yes")</f>
        <v>16</v>
      </c>
      <c r="F13" s="16">
        <f t="shared" si="1"/>
        <v>0.2162162162</v>
      </c>
      <c r="G13" s="3">
        <f>COUNTIFS('Dilated Cardiomyopathy'!$B$2:$B$75,"*",'Dilated Cardiomyopathy'!$K$2:$K$75,"Gold-standard")</f>
        <v>10</v>
      </c>
      <c r="H13" s="3">
        <f>COUNTIFS('Dilated Cardiomyopathy'!$B$2:$B$75,"*",'Dilated Cardiomyopathy'!$K$2:$K$75,"Cilia-associated")</f>
        <v>6</v>
      </c>
      <c r="I13" s="3">
        <f>COUNTIFS('Dilated Cardiomyopathy'!$B$2:$B$75,"*",'Dilated Cardiomyopathy'!$L$2:$L$75,"Yes")</f>
        <v>2</v>
      </c>
      <c r="J13" s="16">
        <f t="shared" si="2"/>
        <v>0.02702702703</v>
      </c>
      <c r="K13" s="17">
        <f t="shared" si="3"/>
        <v>1.491697802</v>
      </c>
      <c r="L13" s="18">
        <v>0.0627</v>
      </c>
      <c r="M13" s="17">
        <f t="shared" si="4"/>
        <v>1.042765657</v>
      </c>
      <c r="N13" s="18">
        <v>0.61</v>
      </c>
    </row>
    <row r="19">
      <c r="A19" s="3" t="s">
        <v>1202</v>
      </c>
      <c r="B19" s="3">
        <v>19214.0</v>
      </c>
    </row>
    <row r="20">
      <c r="A20" s="3" t="s">
        <v>1203</v>
      </c>
      <c r="B20" s="3">
        <v>2785.0</v>
      </c>
    </row>
    <row r="21" ht="15.75" customHeight="1">
      <c r="A21" s="3" t="s">
        <v>1205</v>
      </c>
      <c r="B21" s="3">
        <v>498.0</v>
      </c>
    </row>
    <row r="22" ht="15.75" customHeight="1"/>
    <row r="23" ht="15.75" customHeight="1">
      <c r="A23" s="3" t="s">
        <v>1211</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0.0"/>
    <col customWidth="1" min="3" max="3" width="30.0"/>
    <col customWidth="1" min="4" max="4" width="45.0"/>
    <col customWidth="1" min="5" max="5" width="19.0"/>
    <col customWidth="1" min="6" max="6" width="12.0"/>
    <col customWidth="1" min="7" max="7" width="32.0"/>
    <col customWidth="1" min="8" max="8" width="11.0"/>
    <col customWidth="1" min="9" max="9" width="13.0"/>
    <col customWidth="1" min="10" max="10" width="24.0"/>
    <col customWidth="1" min="11" max="11" width="17.0"/>
    <col customWidth="1" min="12" max="12" width="14.0"/>
    <col customWidth="1" min="13" max="13" width="27.86"/>
    <col customWidth="1" min="14" max="14" width="30.43"/>
    <col customWidth="1" min="15" max="15" width="24.0"/>
    <col customWidth="1" min="16" max="16" width="22.0"/>
    <col customWidth="1" min="17" max="17" width="15.29"/>
    <col customWidth="1" min="18" max="18" width="19.29"/>
    <col customWidth="1" min="19" max="19" width="8.71"/>
    <col customWidth="1" min="20" max="20" width="22.0"/>
  </cols>
  <sheetData>
    <row r="1">
      <c r="A1" s="2" t="s">
        <v>2</v>
      </c>
      <c r="B1" s="2" t="s">
        <v>4</v>
      </c>
      <c r="C1" s="2" t="s">
        <v>5</v>
      </c>
      <c r="D1" s="2" t="s">
        <v>6</v>
      </c>
      <c r="E1" s="2" t="s">
        <v>7</v>
      </c>
      <c r="F1" s="2" t="s">
        <v>9</v>
      </c>
      <c r="G1" s="2" t="s">
        <v>11</v>
      </c>
      <c r="H1" s="2" t="s">
        <v>12</v>
      </c>
      <c r="I1" s="2" t="s">
        <v>14</v>
      </c>
      <c r="J1" s="2" t="s">
        <v>15</v>
      </c>
      <c r="K1" s="2" t="s">
        <v>17</v>
      </c>
      <c r="L1" s="2" t="s">
        <v>18</v>
      </c>
      <c r="M1" s="5" t="s">
        <v>21</v>
      </c>
      <c r="N1" s="5" t="s">
        <v>26</v>
      </c>
      <c r="O1" s="5" t="s">
        <v>27</v>
      </c>
      <c r="P1" s="5" t="s">
        <v>29</v>
      </c>
      <c r="Q1" s="6"/>
      <c r="R1" s="6"/>
      <c r="S1" s="6"/>
      <c r="T1" s="6"/>
      <c r="U1" s="7"/>
      <c r="V1" s="7"/>
      <c r="W1" s="7"/>
      <c r="X1" s="7"/>
      <c r="Y1" s="7"/>
      <c r="Z1" s="7"/>
    </row>
    <row r="2">
      <c r="A2" s="8" t="s">
        <v>38</v>
      </c>
      <c r="B2" s="8" t="s">
        <v>39</v>
      </c>
      <c r="C2" s="8" t="s">
        <v>40</v>
      </c>
      <c r="D2" s="11" t="s">
        <v>41</v>
      </c>
      <c r="E2" s="8" t="s">
        <v>44</v>
      </c>
      <c r="F2" s="8" t="s">
        <v>46</v>
      </c>
      <c r="G2" s="8" t="s">
        <v>47</v>
      </c>
      <c r="H2" s="8" t="s">
        <v>48</v>
      </c>
      <c r="I2" s="8" t="s">
        <v>38</v>
      </c>
      <c r="J2" s="8" t="s">
        <v>49</v>
      </c>
      <c r="K2" s="8" t="s">
        <v>31</v>
      </c>
      <c r="L2" s="8" t="s">
        <v>48</v>
      </c>
      <c r="M2" s="12" t="s">
        <v>53</v>
      </c>
      <c r="N2" s="12" t="s">
        <v>56</v>
      </c>
      <c r="O2" s="12" t="s">
        <v>58</v>
      </c>
      <c r="P2" s="12" t="s">
        <v>60</v>
      </c>
      <c r="Q2" s="12"/>
      <c r="R2" s="12"/>
      <c r="S2" s="12"/>
      <c r="T2" s="12"/>
    </row>
    <row r="3">
      <c r="A3" s="8" t="s">
        <v>61</v>
      </c>
      <c r="B3" s="8" t="s">
        <v>39</v>
      </c>
      <c r="C3" s="8" t="s">
        <v>40</v>
      </c>
      <c r="D3" s="11" t="s">
        <v>63</v>
      </c>
      <c r="E3" s="8" t="s">
        <v>64</v>
      </c>
      <c r="F3" s="8" t="s">
        <v>65</v>
      </c>
      <c r="G3" s="8" t="s">
        <v>47</v>
      </c>
      <c r="H3" s="8" t="s">
        <v>48</v>
      </c>
      <c r="I3" s="8" t="s">
        <v>61</v>
      </c>
      <c r="J3" s="8" t="s">
        <v>49</v>
      </c>
      <c r="K3" s="8" t="s">
        <v>31</v>
      </c>
      <c r="L3" s="8" t="s">
        <v>48</v>
      </c>
      <c r="M3" s="12" t="s">
        <v>69</v>
      </c>
      <c r="N3" s="12" t="s">
        <v>56</v>
      </c>
      <c r="O3" s="12" t="s">
        <v>70</v>
      </c>
      <c r="P3" s="12"/>
      <c r="Q3" s="12"/>
      <c r="R3" s="12"/>
      <c r="S3" s="12"/>
      <c r="T3" s="12"/>
    </row>
    <row r="4">
      <c r="A4" s="8" t="s">
        <v>71</v>
      </c>
      <c r="B4" s="8" t="s">
        <v>39</v>
      </c>
      <c r="C4" s="8" t="s">
        <v>40</v>
      </c>
      <c r="D4" s="11" t="s">
        <v>72</v>
      </c>
      <c r="E4" s="8" t="s">
        <v>73</v>
      </c>
      <c r="F4" s="8" t="s">
        <v>74</v>
      </c>
      <c r="G4" s="8" t="s">
        <v>47</v>
      </c>
      <c r="H4" s="8" t="s">
        <v>48</v>
      </c>
      <c r="I4" s="8" t="s">
        <v>71</v>
      </c>
      <c r="J4" s="8" t="s">
        <v>49</v>
      </c>
      <c r="K4" s="8" t="s">
        <v>31</v>
      </c>
      <c r="L4" s="8" t="s">
        <v>48</v>
      </c>
      <c r="M4" s="12" t="s">
        <v>75</v>
      </c>
      <c r="N4" s="12" t="s">
        <v>76</v>
      </c>
      <c r="O4" s="12" t="s">
        <v>77</v>
      </c>
      <c r="P4" s="12"/>
      <c r="Q4" s="12"/>
      <c r="R4" s="12"/>
      <c r="S4" s="12"/>
      <c r="T4" s="12"/>
    </row>
    <row r="5">
      <c r="A5" s="8" t="s">
        <v>78</v>
      </c>
      <c r="B5" s="8" t="s">
        <v>39</v>
      </c>
      <c r="C5" s="8" t="s">
        <v>40</v>
      </c>
      <c r="D5" s="11" t="s">
        <v>81</v>
      </c>
      <c r="E5" s="8" t="s">
        <v>82</v>
      </c>
      <c r="F5" s="8" t="s">
        <v>83</v>
      </c>
      <c r="G5" s="8" t="s">
        <v>47</v>
      </c>
      <c r="H5" s="8" t="s">
        <v>48</v>
      </c>
      <c r="I5" s="8" t="s">
        <v>78</v>
      </c>
      <c r="J5" s="8" t="s">
        <v>49</v>
      </c>
      <c r="K5" s="8" t="s">
        <v>31</v>
      </c>
      <c r="L5" s="8" t="s">
        <v>48</v>
      </c>
      <c r="M5" s="12" t="s">
        <v>85</v>
      </c>
      <c r="N5" s="12" t="s">
        <v>56</v>
      </c>
      <c r="O5" s="12" t="s">
        <v>77</v>
      </c>
      <c r="P5" s="12"/>
      <c r="Q5" s="12"/>
      <c r="R5" s="12"/>
      <c r="S5" s="12"/>
      <c r="T5" s="12"/>
    </row>
    <row r="6">
      <c r="A6" s="8" t="s">
        <v>89</v>
      </c>
      <c r="B6" s="8" t="s">
        <v>39</v>
      </c>
      <c r="C6" s="8" t="s">
        <v>40</v>
      </c>
      <c r="D6" s="11" t="s">
        <v>90</v>
      </c>
      <c r="E6" s="8" t="s">
        <v>91</v>
      </c>
      <c r="F6" s="8" t="s">
        <v>93</v>
      </c>
      <c r="G6" s="8" t="s">
        <v>54</v>
      </c>
      <c r="H6" s="8" t="s">
        <v>48</v>
      </c>
      <c r="I6" s="8" t="s">
        <v>89</v>
      </c>
      <c r="J6" s="8" t="s">
        <v>49</v>
      </c>
      <c r="K6" s="8" t="s">
        <v>31</v>
      </c>
      <c r="L6" s="8" t="s">
        <v>48</v>
      </c>
      <c r="M6" s="12" t="s">
        <v>96</v>
      </c>
      <c r="N6" s="12" t="s">
        <v>98</v>
      </c>
      <c r="O6" s="12" t="s">
        <v>100</v>
      </c>
      <c r="P6" s="12"/>
      <c r="Q6" s="12"/>
      <c r="R6" s="12"/>
      <c r="S6" s="12"/>
      <c r="T6" s="12"/>
    </row>
    <row r="7">
      <c r="A7" s="8" t="s">
        <v>102</v>
      </c>
      <c r="B7" s="8" t="s">
        <v>39</v>
      </c>
      <c r="C7" s="8" t="s">
        <v>40</v>
      </c>
      <c r="D7" s="11" t="s">
        <v>103</v>
      </c>
      <c r="E7" s="8" t="s">
        <v>104</v>
      </c>
      <c r="F7" s="8" t="s">
        <v>105</v>
      </c>
      <c r="G7" s="8" t="s">
        <v>47</v>
      </c>
      <c r="H7" s="8" t="s">
        <v>48</v>
      </c>
      <c r="I7" s="8" t="s">
        <v>102</v>
      </c>
      <c r="J7" s="8" t="s">
        <v>49</v>
      </c>
      <c r="K7" s="8" t="s">
        <v>31</v>
      </c>
      <c r="L7" s="8" t="s">
        <v>48</v>
      </c>
      <c r="M7" s="12" t="s">
        <v>107</v>
      </c>
      <c r="N7" s="12" t="s">
        <v>76</v>
      </c>
      <c r="O7" s="12" t="s">
        <v>109</v>
      </c>
      <c r="P7" s="12"/>
      <c r="Q7" s="12"/>
      <c r="R7" s="12"/>
      <c r="S7" s="12"/>
      <c r="T7" s="12"/>
    </row>
    <row r="8">
      <c r="A8" s="8" t="s">
        <v>111</v>
      </c>
      <c r="B8" s="8" t="s">
        <v>39</v>
      </c>
      <c r="C8" s="8" t="s">
        <v>40</v>
      </c>
      <c r="D8" s="11" t="s">
        <v>114</v>
      </c>
      <c r="E8" s="8" t="s">
        <v>115</v>
      </c>
      <c r="F8" s="8" t="s">
        <v>116</v>
      </c>
      <c r="G8" s="8" t="s">
        <v>117</v>
      </c>
      <c r="H8" s="8" t="s">
        <v>48</v>
      </c>
      <c r="I8" s="8" t="s">
        <v>111</v>
      </c>
      <c r="J8" s="8" t="s">
        <v>49</v>
      </c>
      <c r="K8" s="8" t="s">
        <v>31</v>
      </c>
      <c r="L8" s="8" t="s">
        <v>48</v>
      </c>
      <c r="M8" s="12" t="s">
        <v>85</v>
      </c>
      <c r="N8" s="12" t="s">
        <v>56</v>
      </c>
      <c r="O8" s="12" t="s">
        <v>118</v>
      </c>
      <c r="P8" s="12"/>
      <c r="Q8" s="12"/>
      <c r="R8" s="12"/>
      <c r="S8" s="12"/>
      <c r="T8" s="12"/>
    </row>
    <row r="9">
      <c r="A9" s="8" t="s">
        <v>119</v>
      </c>
      <c r="B9" s="8" t="s">
        <v>39</v>
      </c>
      <c r="C9" s="8" t="s">
        <v>40</v>
      </c>
      <c r="D9" s="11" t="s">
        <v>120</v>
      </c>
      <c r="E9" s="8" t="s">
        <v>121</v>
      </c>
      <c r="F9" s="8" t="s">
        <v>123</v>
      </c>
      <c r="G9" s="8" t="s">
        <v>47</v>
      </c>
      <c r="H9" s="8" t="s">
        <v>48</v>
      </c>
      <c r="I9" s="8" t="s">
        <v>119</v>
      </c>
      <c r="J9" s="8" t="s">
        <v>49</v>
      </c>
      <c r="K9" s="8" t="s">
        <v>31</v>
      </c>
      <c r="L9" s="8" t="s">
        <v>48</v>
      </c>
      <c r="M9" s="12" t="s">
        <v>127</v>
      </c>
      <c r="N9" s="12" t="s">
        <v>56</v>
      </c>
      <c r="O9" s="12" t="s">
        <v>128</v>
      </c>
      <c r="P9" s="12"/>
      <c r="Q9" s="12"/>
      <c r="R9" s="12"/>
      <c r="S9" s="12"/>
      <c r="T9" s="12"/>
    </row>
    <row r="10">
      <c r="A10" s="8" t="s">
        <v>129</v>
      </c>
      <c r="B10" s="8" t="s">
        <v>39</v>
      </c>
      <c r="C10" s="8" t="s">
        <v>40</v>
      </c>
      <c r="D10" s="11" t="s">
        <v>132</v>
      </c>
      <c r="E10" s="8" t="s">
        <v>134</v>
      </c>
      <c r="F10" s="8" t="s">
        <v>136</v>
      </c>
      <c r="G10" s="8" t="s">
        <v>47</v>
      </c>
      <c r="H10" s="8" t="s">
        <v>48</v>
      </c>
      <c r="I10" s="8" t="s">
        <v>129</v>
      </c>
      <c r="J10" s="8" t="s">
        <v>49</v>
      </c>
      <c r="K10" s="8" t="s">
        <v>31</v>
      </c>
      <c r="L10" s="8" t="s">
        <v>48</v>
      </c>
      <c r="M10" s="12" t="s">
        <v>137</v>
      </c>
      <c r="N10" s="12" t="s">
        <v>56</v>
      </c>
      <c r="O10" s="12" t="s">
        <v>138</v>
      </c>
      <c r="P10" s="12"/>
      <c r="Q10" s="12"/>
      <c r="R10" s="12"/>
      <c r="S10" s="12"/>
      <c r="T10" s="12"/>
    </row>
    <row r="11">
      <c r="A11" s="8" t="s">
        <v>140</v>
      </c>
      <c r="B11" s="8" t="s">
        <v>39</v>
      </c>
      <c r="C11" s="8" t="s">
        <v>40</v>
      </c>
      <c r="D11" s="11" t="s">
        <v>142</v>
      </c>
      <c r="E11" s="8" t="s">
        <v>143</v>
      </c>
      <c r="F11" s="8" t="s">
        <v>144</v>
      </c>
      <c r="G11" s="8" t="s">
        <v>117</v>
      </c>
      <c r="H11" s="8" t="s">
        <v>48</v>
      </c>
      <c r="I11" s="8" t="s">
        <v>140</v>
      </c>
      <c r="J11" s="8" t="s">
        <v>49</v>
      </c>
      <c r="K11" s="8" t="s">
        <v>31</v>
      </c>
      <c r="L11" s="8" t="s">
        <v>48</v>
      </c>
      <c r="M11" s="12" t="s">
        <v>148</v>
      </c>
      <c r="N11" s="12" t="s">
        <v>56</v>
      </c>
      <c r="O11" s="12" t="s">
        <v>118</v>
      </c>
      <c r="P11" s="12"/>
      <c r="Q11" s="12"/>
      <c r="R11" s="12"/>
      <c r="S11" s="12"/>
      <c r="T11" s="12"/>
    </row>
    <row r="12">
      <c r="A12" s="8" t="s">
        <v>150</v>
      </c>
      <c r="B12" s="8" t="s">
        <v>39</v>
      </c>
      <c r="C12" s="8" t="s">
        <v>40</v>
      </c>
      <c r="D12" s="11" t="s">
        <v>152</v>
      </c>
      <c r="E12" s="8" t="s">
        <v>153</v>
      </c>
      <c r="F12" s="8" t="s">
        <v>154</v>
      </c>
      <c r="G12" s="8" t="s">
        <v>47</v>
      </c>
      <c r="H12" s="8" t="s">
        <v>48</v>
      </c>
      <c r="I12" s="8" t="s">
        <v>150</v>
      </c>
      <c r="J12" s="8" t="s">
        <v>49</v>
      </c>
      <c r="K12" s="8" t="s">
        <v>31</v>
      </c>
      <c r="L12" s="8" t="s">
        <v>48</v>
      </c>
      <c r="M12" s="12" t="s">
        <v>158</v>
      </c>
      <c r="N12" s="12" t="s">
        <v>56</v>
      </c>
      <c r="O12" s="12" t="s">
        <v>160</v>
      </c>
      <c r="P12" s="12"/>
      <c r="Q12" s="12"/>
      <c r="R12" s="12"/>
      <c r="S12" s="12"/>
      <c r="T12" s="12"/>
    </row>
    <row r="13">
      <c r="A13" s="8" t="s">
        <v>161</v>
      </c>
      <c r="B13" s="8" t="s">
        <v>39</v>
      </c>
      <c r="C13" s="8" t="s">
        <v>40</v>
      </c>
      <c r="D13" s="11" t="s">
        <v>162</v>
      </c>
      <c r="E13" s="8" t="s">
        <v>163</v>
      </c>
      <c r="F13" s="8" t="s">
        <v>164</v>
      </c>
      <c r="G13" s="8" t="s">
        <v>47</v>
      </c>
      <c r="H13" s="8" t="s">
        <v>48</v>
      </c>
      <c r="I13" s="8" t="s">
        <v>161</v>
      </c>
      <c r="J13" s="8" t="s">
        <v>49</v>
      </c>
      <c r="K13" s="8" t="s">
        <v>31</v>
      </c>
      <c r="L13" s="8" t="s">
        <v>48</v>
      </c>
      <c r="M13" s="12" t="s">
        <v>148</v>
      </c>
      <c r="N13" s="12" t="s">
        <v>56</v>
      </c>
      <c r="O13" s="12" t="s">
        <v>151</v>
      </c>
      <c r="P13" s="12"/>
      <c r="Q13" s="12"/>
      <c r="R13" s="12"/>
      <c r="S13" s="12"/>
      <c r="T13" s="12"/>
    </row>
    <row r="14">
      <c r="A14" s="8" t="s">
        <v>169</v>
      </c>
      <c r="B14" s="8" t="s">
        <v>39</v>
      </c>
      <c r="C14" s="8" t="s">
        <v>40</v>
      </c>
      <c r="D14" s="11" t="s">
        <v>170</v>
      </c>
      <c r="E14" s="8" t="s">
        <v>171</v>
      </c>
      <c r="F14" s="8" t="s">
        <v>172</v>
      </c>
      <c r="G14" s="8" t="s">
        <v>47</v>
      </c>
      <c r="H14" s="8" t="s">
        <v>48</v>
      </c>
      <c r="I14" s="8" t="s">
        <v>169</v>
      </c>
      <c r="J14" s="8" t="s">
        <v>49</v>
      </c>
      <c r="K14" s="8" t="s">
        <v>31</v>
      </c>
      <c r="L14" s="8" t="s">
        <v>48</v>
      </c>
      <c r="M14" s="12" t="s">
        <v>148</v>
      </c>
      <c r="N14" s="12" t="s">
        <v>56</v>
      </c>
      <c r="O14" s="12" t="s">
        <v>151</v>
      </c>
      <c r="P14" s="12"/>
      <c r="Q14" s="12"/>
      <c r="R14" s="12"/>
      <c r="S14" s="12"/>
      <c r="T14" s="12"/>
    </row>
    <row r="15">
      <c r="A15" s="8" t="s">
        <v>175</v>
      </c>
      <c r="B15" s="8" t="s">
        <v>39</v>
      </c>
      <c r="C15" s="8" t="s">
        <v>40</v>
      </c>
      <c r="D15" s="11" t="s">
        <v>178</v>
      </c>
      <c r="E15" s="8" t="s">
        <v>179</v>
      </c>
      <c r="F15" s="8" t="s">
        <v>180</v>
      </c>
      <c r="G15" s="8" t="s">
        <v>47</v>
      </c>
      <c r="H15" s="8" t="s">
        <v>48</v>
      </c>
      <c r="I15" s="8" t="s">
        <v>175</v>
      </c>
      <c r="J15" s="8" t="s">
        <v>49</v>
      </c>
      <c r="K15" s="8" t="s">
        <v>31</v>
      </c>
      <c r="L15" s="8" t="s">
        <v>48</v>
      </c>
      <c r="M15" s="12" t="s">
        <v>107</v>
      </c>
      <c r="N15" s="12" t="s">
        <v>76</v>
      </c>
      <c r="O15" s="12" t="s">
        <v>109</v>
      </c>
      <c r="P15" s="12" t="s">
        <v>182</v>
      </c>
      <c r="Q15" s="12"/>
      <c r="R15" s="12"/>
      <c r="S15" s="12"/>
      <c r="T15" s="12"/>
    </row>
    <row r="16">
      <c r="A16" s="8" t="s">
        <v>184</v>
      </c>
      <c r="B16" s="8" t="s">
        <v>39</v>
      </c>
      <c r="C16" s="8" t="s">
        <v>40</v>
      </c>
      <c r="D16" s="11" t="s">
        <v>187</v>
      </c>
      <c r="E16" s="8" t="s">
        <v>189</v>
      </c>
      <c r="F16" s="8" t="s">
        <v>190</v>
      </c>
      <c r="G16" s="8" t="s">
        <v>47</v>
      </c>
      <c r="H16" s="8" t="s">
        <v>48</v>
      </c>
      <c r="I16" s="8" t="s">
        <v>184</v>
      </c>
      <c r="J16" s="8" t="s">
        <v>49</v>
      </c>
      <c r="K16" s="8" t="s">
        <v>31</v>
      </c>
      <c r="L16" s="8" t="s">
        <v>48</v>
      </c>
      <c r="M16" s="12" t="s">
        <v>148</v>
      </c>
      <c r="N16" s="12" t="s">
        <v>56</v>
      </c>
      <c r="O16" s="12" t="s">
        <v>58</v>
      </c>
      <c r="P16" s="12" t="s">
        <v>191</v>
      </c>
      <c r="Q16" s="12"/>
      <c r="R16" s="12"/>
      <c r="S16" s="12"/>
      <c r="T16" s="12"/>
    </row>
    <row r="17">
      <c r="A17" s="8" t="s">
        <v>192</v>
      </c>
      <c r="B17" s="8" t="s">
        <v>39</v>
      </c>
      <c r="C17" s="8" t="s">
        <v>40</v>
      </c>
      <c r="D17" s="11" t="s">
        <v>194</v>
      </c>
      <c r="E17" s="8" t="s">
        <v>195</v>
      </c>
      <c r="F17" s="8" t="s">
        <v>196</v>
      </c>
      <c r="G17" s="8" t="s">
        <v>47</v>
      </c>
      <c r="H17" s="8" t="s">
        <v>48</v>
      </c>
      <c r="I17" s="8" t="s">
        <v>192</v>
      </c>
      <c r="J17" s="8" t="s">
        <v>49</v>
      </c>
      <c r="K17" s="8" t="s">
        <v>31</v>
      </c>
      <c r="L17" s="8" t="s">
        <v>48</v>
      </c>
      <c r="M17" s="12" t="s">
        <v>148</v>
      </c>
      <c r="N17" s="12" t="s">
        <v>56</v>
      </c>
      <c r="O17" s="12" t="s">
        <v>151</v>
      </c>
      <c r="P17" s="12"/>
      <c r="Q17" s="12"/>
      <c r="R17" s="12"/>
      <c r="S17" s="12"/>
      <c r="T17" s="12"/>
    </row>
    <row r="18">
      <c r="A18" s="8" t="s">
        <v>200</v>
      </c>
      <c r="B18" s="8" t="s">
        <v>39</v>
      </c>
      <c r="C18" s="8" t="s">
        <v>40</v>
      </c>
      <c r="D18" s="11" t="s">
        <v>202</v>
      </c>
      <c r="E18" s="8" t="s">
        <v>203</v>
      </c>
      <c r="F18" s="8" t="s">
        <v>204</v>
      </c>
      <c r="G18" s="8" t="s">
        <v>47</v>
      </c>
      <c r="H18" s="8" t="s">
        <v>48</v>
      </c>
      <c r="I18" s="8" t="s">
        <v>200</v>
      </c>
      <c r="J18" s="8" t="s">
        <v>49</v>
      </c>
      <c r="K18" s="8" t="s">
        <v>31</v>
      </c>
      <c r="L18" s="8" t="s">
        <v>48</v>
      </c>
      <c r="M18" s="12" t="s">
        <v>148</v>
      </c>
      <c r="N18" s="12" t="s">
        <v>56</v>
      </c>
      <c r="O18" s="12" t="s">
        <v>207</v>
      </c>
      <c r="P18" s="12"/>
      <c r="Q18" s="12"/>
      <c r="R18" s="12"/>
      <c r="S18" s="12"/>
      <c r="T18" s="12"/>
    </row>
    <row r="19">
      <c r="A19" s="8" t="s">
        <v>209</v>
      </c>
      <c r="B19" s="8" t="s">
        <v>39</v>
      </c>
      <c r="C19" s="8" t="s">
        <v>40</v>
      </c>
      <c r="D19" s="11" t="s">
        <v>211</v>
      </c>
      <c r="E19" s="8" t="s">
        <v>213</v>
      </c>
      <c r="F19" s="8" t="s">
        <v>214</v>
      </c>
      <c r="G19" s="8" t="s">
        <v>47</v>
      </c>
      <c r="H19" s="8" t="s">
        <v>48</v>
      </c>
      <c r="I19" s="8" t="s">
        <v>209</v>
      </c>
      <c r="J19" s="8" t="s">
        <v>49</v>
      </c>
      <c r="K19" s="8" t="s">
        <v>31</v>
      </c>
      <c r="L19" s="8" t="s">
        <v>48</v>
      </c>
      <c r="M19" s="12" t="s">
        <v>148</v>
      </c>
      <c r="N19" s="12" t="s">
        <v>56</v>
      </c>
      <c r="O19" s="12" t="s">
        <v>77</v>
      </c>
      <c r="P19" s="12"/>
      <c r="Q19" s="12"/>
      <c r="R19" s="12"/>
      <c r="S19" s="12"/>
      <c r="T19" s="12"/>
    </row>
    <row r="20">
      <c r="A20" s="8" t="s">
        <v>216</v>
      </c>
      <c r="B20" s="8" t="s">
        <v>39</v>
      </c>
      <c r="C20" s="8" t="s">
        <v>40</v>
      </c>
      <c r="D20" s="11" t="s">
        <v>217</v>
      </c>
      <c r="E20" s="8" t="s">
        <v>218</v>
      </c>
      <c r="F20" s="8" t="s">
        <v>219</v>
      </c>
      <c r="G20" s="8" t="s">
        <v>220</v>
      </c>
      <c r="H20" s="8" t="s">
        <v>48</v>
      </c>
      <c r="I20" s="8" t="s">
        <v>216</v>
      </c>
      <c r="J20" s="8" t="s">
        <v>49</v>
      </c>
      <c r="K20" s="8" t="s">
        <v>31</v>
      </c>
      <c r="L20" s="8" t="s">
        <v>48</v>
      </c>
      <c r="M20" s="12" t="s">
        <v>222</v>
      </c>
      <c r="N20" s="12" t="s">
        <v>56</v>
      </c>
      <c r="O20" s="12" t="s">
        <v>225</v>
      </c>
      <c r="P20" s="12"/>
      <c r="Q20" s="12"/>
      <c r="R20" s="12"/>
      <c r="S20" s="12"/>
      <c r="T20" s="12"/>
    </row>
    <row r="21" ht="15.75" customHeight="1">
      <c r="A21" s="8" t="s">
        <v>227</v>
      </c>
      <c r="B21" s="8" t="s">
        <v>39</v>
      </c>
      <c r="C21" s="8" t="s">
        <v>40</v>
      </c>
      <c r="D21" s="11" t="s">
        <v>228</v>
      </c>
      <c r="E21" s="8" t="s">
        <v>229</v>
      </c>
      <c r="F21" s="8" t="s">
        <v>230</v>
      </c>
      <c r="G21" s="8" t="s">
        <v>54</v>
      </c>
      <c r="H21" s="8" t="s">
        <v>48</v>
      </c>
      <c r="I21" s="8" t="s">
        <v>227</v>
      </c>
      <c r="J21" s="8" t="s">
        <v>49</v>
      </c>
      <c r="K21" s="8" t="s">
        <v>31</v>
      </c>
      <c r="L21" s="8" t="s">
        <v>48</v>
      </c>
      <c r="M21" s="12" t="s">
        <v>85</v>
      </c>
      <c r="N21" s="12" t="s">
        <v>56</v>
      </c>
      <c r="O21" s="12" t="s">
        <v>232</v>
      </c>
      <c r="P21" s="12"/>
      <c r="Q21" s="12"/>
      <c r="R21" s="12"/>
      <c r="S21" s="12"/>
      <c r="T21" s="12"/>
    </row>
    <row r="22" ht="15.75" customHeight="1">
      <c r="A22" s="8" t="s">
        <v>234</v>
      </c>
      <c r="B22" s="8" t="s">
        <v>39</v>
      </c>
      <c r="C22" s="8" t="s">
        <v>40</v>
      </c>
      <c r="D22" s="11" t="s">
        <v>236</v>
      </c>
      <c r="E22" s="8" t="s">
        <v>237</v>
      </c>
      <c r="F22" s="8" t="s">
        <v>239</v>
      </c>
      <c r="G22" s="8" t="s">
        <v>47</v>
      </c>
      <c r="H22" s="8" t="s">
        <v>48</v>
      </c>
      <c r="I22" s="8" t="s">
        <v>234</v>
      </c>
      <c r="J22" s="8" t="s">
        <v>49</v>
      </c>
      <c r="K22" s="8" t="s">
        <v>31</v>
      </c>
      <c r="L22" s="8" t="s">
        <v>48</v>
      </c>
      <c r="M22" s="12" t="s">
        <v>241</v>
      </c>
      <c r="N22" s="12" t="s">
        <v>56</v>
      </c>
      <c r="O22" s="12" t="s">
        <v>109</v>
      </c>
      <c r="P22" s="12"/>
      <c r="Q22" s="12"/>
      <c r="R22" s="12"/>
      <c r="S22" s="12"/>
      <c r="T22" s="12"/>
    </row>
    <row r="23" ht="15.75" customHeight="1">
      <c r="A23" s="8" t="s">
        <v>242</v>
      </c>
      <c r="B23" s="8" t="s">
        <v>39</v>
      </c>
      <c r="C23" s="8" t="s">
        <v>40</v>
      </c>
      <c r="D23" s="11" t="s">
        <v>244</v>
      </c>
      <c r="E23" s="8" t="s">
        <v>245</v>
      </c>
      <c r="F23" s="8" t="s">
        <v>247</v>
      </c>
      <c r="G23" s="8" t="s">
        <v>54</v>
      </c>
      <c r="H23" s="8" t="s">
        <v>48</v>
      </c>
      <c r="I23" s="8" t="s">
        <v>242</v>
      </c>
      <c r="J23" s="8" t="s">
        <v>49</v>
      </c>
      <c r="K23" s="8" t="s">
        <v>31</v>
      </c>
      <c r="L23" s="8" t="s">
        <v>55</v>
      </c>
      <c r="M23" s="12"/>
      <c r="N23" s="12"/>
      <c r="O23" s="12" t="s">
        <v>151</v>
      </c>
      <c r="P23" s="12"/>
      <c r="Q23" s="12"/>
      <c r="R23" s="12"/>
      <c r="S23" s="12"/>
      <c r="T23" s="12"/>
    </row>
    <row r="24" ht="15.75" customHeight="1">
      <c r="A24" s="8" t="s">
        <v>255</v>
      </c>
      <c r="B24" s="8" t="s">
        <v>39</v>
      </c>
      <c r="C24" s="8" t="s">
        <v>40</v>
      </c>
      <c r="D24" s="11" t="s">
        <v>256</v>
      </c>
      <c r="E24" s="8" t="s">
        <v>257</v>
      </c>
      <c r="F24" s="8" t="s">
        <v>258</v>
      </c>
      <c r="G24" s="8" t="s">
        <v>54</v>
      </c>
      <c r="H24" s="8" t="s">
        <v>48</v>
      </c>
      <c r="I24" s="8" t="s">
        <v>255</v>
      </c>
      <c r="J24" s="8" t="s">
        <v>49</v>
      </c>
      <c r="K24" s="8" t="s">
        <v>31</v>
      </c>
      <c r="L24" s="8" t="s">
        <v>48</v>
      </c>
      <c r="M24" s="12" t="s">
        <v>264</v>
      </c>
      <c r="N24" s="12" t="s">
        <v>56</v>
      </c>
      <c r="O24" s="12" t="s">
        <v>267</v>
      </c>
      <c r="P24" s="12"/>
      <c r="Q24" s="12"/>
      <c r="R24" s="12"/>
      <c r="S24" s="12"/>
      <c r="T24" s="12"/>
    </row>
    <row r="25" ht="15.75" customHeight="1">
      <c r="A25" s="8" t="s">
        <v>271</v>
      </c>
      <c r="B25" s="8" t="s">
        <v>39</v>
      </c>
      <c r="C25" s="8" t="s">
        <v>40</v>
      </c>
      <c r="D25" s="11" t="s">
        <v>273</v>
      </c>
      <c r="E25" s="8" t="s">
        <v>274</v>
      </c>
      <c r="F25" s="8" t="s">
        <v>275</v>
      </c>
      <c r="G25" s="8" t="s">
        <v>47</v>
      </c>
      <c r="H25" s="8" t="s">
        <v>48</v>
      </c>
      <c r="I25" s="8" t="s">
        <v>271</v>
      </c>
      <c r="J25" s="8" t="s">
        <v>49</v>
      </c>
      <c r="K25" s="8" t="s">
        <v>31</v>
      </c>
      <c r="L25" s="8" t="s">
        <v>48</v>
      </c>
      <c r="M25" s="12" t="s">
        <v>279</v>
      </c>
      <c r="N25" s="12" t="s">
        <v>56</v>
      </c>
      <c r="O25" s="12" t="s">
        <v>280</v>
      </c>
      <c r="P25" s="12"/>
      <c r="Q25" s="12"/>
      <c r="R25" s="12"/>
      <c r="S25" s="12"/>
      <c r="T25" s="12"/>
    </row>
    <row r="26" ht="15.75" customHeight="1">
      <c r="A26" s="8" t="s">
        <v>283</v>
      </c>
      <c r="B26" s="8" t="s">
        <v>39</v>
      </c>
      <c r="C26" s="8" t="s">
        <v>40</v>
      </c>
      <c r="D26" s="11" t="s">
        <v>285</v>
      </c>
      <c r="E26" s="8" t="s">
        <v>286</v>
      </c>
      <c r="F26" s="8" t="s">
        <v>287</v>
      </c>
      <c r="G26" s="8" t="s">
        <v>220</v>
      </c>
      <c r="H26" s="8" t="s">
        <v>48</v>
      </c>
      <c r="I26" s="8" t="s">
        <v>283</v>
      </c>
      <c r="J26" s="8" t="s">
        <v>49</v>
      </c>
      <c r="K26" s="8" t="s">
        <v>31</v>
      </c>
      <c r="L26" s="8" t="s">
        <v>48</v>
      </c>
      <c r="M26" s="12" t="s">
        <v>289</v>
      </c>
      <c r="N26" s="12" t="s">
        <v>98</v>
      </c>
      <c r="O26" s="12" t="s">
        <v>291</v>
      </c>
      <c r="P26" s="12"/>
      <c r="Q26" s="12"/>
      <c r="R26" s="12"/>
      <c r="S26" s="12"/>
      <c r="T26" s="12"/>
    </row>
    <row r="27" ht="15.75" customHeight="1">
      <c r="A27" s="8" t="s">
        <v>293</v>
      </c>
      <c r="B27" s="8" t="s">
        <v>39</v>
      </c>
      <c r="C27" s="8" t="s">
        <v>40</v>
      </c>
      <c r="D27" s="11" t="s">
        <v>295</v>
      </c>
      <c r="E27" s="8" t="s">
        <v>297</v>
      </c>
      <c r="F27" s="8" t="s">
        <v>299</v>
      </c>
      <c r="G27" s="8" t="s">
        <v>220</v>
      </c>
      <c r="H27" s="8" t="s">
        <v>48</v>
      </c>
      <c r="I27" s="8" t="s">
        <v>293</v>
      </c>
      <c r="J27" s="8" t="s">
        <v>49</v>
      </c>
      <c r="K27" s="8" t="s">
        <v>31</v>
      </c>
      <c r="L27" s="8" t="s">
        <v>48</v>
      </c>
      <c r="M27" s="12" t="s">
        <v>304</v>
      </c>
      <c r="N27" s="12" t="s">
        <v>56</v>
      </c>
      <c r="O27" s="12" t="s">
        <v>225</v>
      </c>
      <c r="P27" s="12"/>
      <c r="Q27" s="12"/>
      <c r="R27" s="12"/>
      <c r="S27" s="12"/>
      <c r="T27" s="12"/>
    </row>
    <row r="28" ht="15.75" customHeight="1">
      <c r="A28" s="8" t="s">
        <v>306</v>
      </c>
      <c r="B28" s="8" t="s">
        <v>39</v>
      </c>
      <c r="C28" s="8" t="s">
        <v>40</v>
      </c>
      <c r="D28" s="11" t="s">
        <v>308</v>
      </c>
      <c r="E28" s="8" t="s">
        <v>311</v>
      </c>
      <c r="F28" s="8" t="s">
        <v>313</v>
      </c>
      <c r="G28" s="8" t="s">
        <v>220</v>
      </c>
      <c r="H28" s="8" t="s">
        <v>48</v>
      </c>
      <c r="I28" s="8" t="s">
        <v>306</v>
      </c>
      <c r="J28" s="8" t="s">
        <v>49</v>
      </c>
      <c r="K28" s="8" t="s">
        <v>31</v>
      </c>
      <c r="L28" s="8" t="s">
        <v>48</v>
      </c>
      <c r="M28" s="12" t="s">
        <v>318</v>
      </c>
      <c r="N28" s="12" t="s">
        <v>56</v>
      </c>
      <c r="O28" s="12" t="s">
        <v>319</v>
      </c>
      <c r="P28" s="12"/>
      <c r="Q28" s="12"/>
      <c r="R28" s="12"/>
      <c r="S28" s="12"/>
      <c r="T28" s="12"/>
    </row>
    <row r="29" ht="15.75" customHeight="1">
      <c r="A29" s="8" t="s">
        <v>321</v>
      </c>
      <c r="B29" s="8" t="s">
        <v>39</v>
      </c>
      <c r="C29" s="8" t="s">
        <v>40</v>
      </c>
      <c r="D29" s="11" t="s">
        <v>324</v>
      </c>
      <c r="E29" s="8" t="s">
        <v>326</v>
      </c>
      <c r="F29" s="8" t="s">
        <v>329</v>
      </c>
      <c r="G29" s="8" t="s">
        <v>47</v>
      </c>
      <c r="H29" s="8" t="s">
        <v>48</v>
      </c>
      <c r="I29" s="8" t="s">
        <v>321</v>
      </c>
      <c r="J29" s="8" t="s">
        <v>49</v>
      </c>
      <c r="K29" s="8" t="s">
        <v>31</v>
      </c>
      <c r="L29" s="8" t="s">
        <v>48</v>
      </c>
      <c r="M29" s="12" t="s">
        <v>333</v>
      </c>
      <c r="N29" s="12" t="s">
        <v>76</v>
      </c>
      <c r="O29" s="12" t="s">
        <v>138</v>
      </c>
      <c r="P29" s="12"/>
      <c r="Q29" s="12"/>
      <c r="R29" s="12"/>
      <c r="S29" s="12"/>
      <c r="T29" s="12"/>
    </row>
    <row r="30" ht="15.75" customHeight="1">
      <c r="A30" s="8" t="s">
        <v>335</v>
      </c>
      <c r="B30" s="8" t="s">
        <v>39</v>
      </c>
      <c r="C30" s="8" t="s">
        <v>40</v>
      </c>
      <c r="D30" s="11" t="s">
        <v>337</v>
      </c>
      <c r="E30" s="8" t="s">
        <v>339</v>
      </c>
      <c r="F30" s="8" t="s">
        <v>341</v>
      </c>
      <c r="G30" s="8" t="s">
        <v>47</v>
      </c>
      <c r="H30" s="8" t="s">
        <v>48</v>
      </c>
      <c r="I30" s="8" t="s">
        <v>335</v>
      </c>
      <c r="J30" s="8" t="s">
        <v>49</v>
      </c>
      <c r="K30" s="8" t="s">
        <v>31</v>
      </c>
      <c r="L30" s="8" t="s">
        <v>48</v>
      </c>
      <c r="M30" s="12" t="s">
        <v>346</v>
      </c>
      <c r="N30" s="12" t="s">
        <v>348</v>
      </c>
      <c r="O30" s="12" t="s">
        <v>349</v>
      </c>
      <c r="P30" s="12"/>
      <c r="Q30" s="12"/>
      <c r="R30" s="12"/>
      <c r="S30" s="12"/>
      <c r="T30" s="12"/>
    </row>
    <row r="31" ht="15.75" customHeight="1">
      <c r="A31" s="8" t="s">
        <v>351</v>
      </c>
      <c r="B31" s="8" t="s">
        <v>39</v>
      </c>
      <c r="C31" s="8" t="s">
        <v>40</v>
      </c>
      <c r="D31" s="11" t="s">
        <v>352</v>
      </c>
      <c r="E31" s="8" t="s">
        <v>353</v>
      </c>
      <c r="F31" s="8" t="s">
        <v>355</v>
      </c>
      <c r="G31" s="8" t="s">
        <v>344</v>
      </c>
      <c r="H31" s="8" t="s">
        <v>48</v>
      </c>
      <c r="I31" s="8" t="s">
        <v>351</v>
      </c>
      <c r="J31" s="8" t="s">
        <v>49</v>
      </c>
      <c r="K31" s="8" t="s">
        <v>31</v>
      </c>
      <c r="L31" s="8" t="s">
        <v>48</v>
      </c>
      <c r="M31" s="12" t="s">
        <v>85</v>
      </c>
      <c r="N31" s="12" t="s">
        <v>56</v>
      </c>
      <c r="O31" s="12" t="s">
        <v>360</v>
      </c>
      <c r="P31" s="12"/>
      <c r="Q31" s="12"/>
      <c r="R31" s="12"/>
      <c r="S31" s="12"/>
      <c r="T31" s="12"/>
    </row>
    <row r="32" ht="15.75" customHeight="1">
      <c r="A32" s="8" t="s">
        <v>363</v>
      </c>
      <c r="B32" s="8" t="s">
        <v>39</v>
      </c>
      <c r="C32" s="8" t="s">
        <v>40</v>
      </c>
      <c r="D32" s="11" t="s">
        <v>365</v>
      </c>
      <c r="E32" s="8" t="s">
        <v>367</v>
      </c>
      <c r="F32" s="8" t="s">
        <v>368</v>
      </c>
      <c r="G32" s="8" t="s">
        <v>47</v>
      </c>
      <c r="H32" s="8" t="s">
        <v>48</v>
      </c>
      <c r="I32" s="8" t="s">
        <v>363</v>
      </c>
      <c r="J32" s="8" t="s">
        <v>49</v>
      </c>
      <c r="K32" s="8" t="s">
        <v>31</v>
      </c>
      <c r="L32" s="8" t="s">
        <v>48</v>
      </c>
      <c r="M32" s="12" t="s">
        <v>375</v>
      </c>
      <c r="N32" s="12" t="s">
        <v>76</v>
      </c>
      <c r="O32" s="12" t="s">
        <v>225</v>
      </c>
      <c r="P32" s="12"/>
      <c r="Q32" s="12"/>
      <c r="R32" s="12"/>
      <c r="S32" s="12"/>
      <c r="T32" s="12"/>
    </row>
    <row r="33" ht="15.75" customHeight="1">
      <c r="A33" s="8" t="s">
        <v>378</v>
      </c>
      <c r="B33" s="8" t="s">
        <v>39</v>
      </c>
      <c r="C33" s="8" t="s">
        <v>40</v>
      </c>
      <c r="D33" s="11" t="s">
        <v>381</v>
      </c>
      <c r="E33" s="8" t="s">
        <v>382</v>
      </c>
      <c r="F33" s="8" t="s">
        <v>384</v>
      </c>
      <c r="G33" s="8" t="s">
        <v>47</v>
      </c>
      <c r="H33" s="8" t="s">
        <v>48</v>
      </c>
      <c r="I33" s="8" t="s">
        <v>378</v>
      </c>
      <c r="J33" s="8" t="s">
        <v>49</v>
      </c>
      <c r="K33" s="8" t="s">
        <v>31</v>
      </c>
      <c r="L33" s="8" t="s">
        <v>48</v>
      </c>
      <c r="M33" s="12" t="s">
        <v>390</v>
      </c>
      <c r="N33" s="12" t="s">
        <v>391</v>
      </c>
      <c r="O33" s="12" t="s">
        <v>151</v>
      </c>
      <c r="P33" s="12"/>
      <c r="Q33" s="12"/>
      <c r="R33" s="12"/>
      <c r="S33" s="12"/>
      <c r="T33" s="12"/>
    </row>
    <row r="34" ht="15.75" customHeight="1">
      <c r="A34" s="8" t="s">
        <v>392</v>
      </c>
      <c r="B34" s="8" t="s">
        <v>39</v>
      </c>
      <c r="C34" s="8" t="s">
        <v>40</v>
      </c>
      <c r="D34" s="11" t="s">
        <v>395</v>
      </c>
      <c r="E34" s="8" t="s">
        <v>396</v>
      </c>
      <c r="F34" s="8" t="s">
        <v>398</v>
      </c>
      <c r="G34" s="8" t="s">
        <v>117</v>
      </c>
      <c r="H34" s="8" t="s">
        <v>48</v>
      </c>
      <c r="I34" s="8" t="s">
        <v>392</v>
      </c>
      <c r="J34" s="8" t="s">
        <v>49</v>
      </c>
      <c r="K34" s="8" t="s">
        <v>31</v>
      </c>
      <c r="L34" s="8" t="s">
        <v>48</v>
      </c>
      <c r="M34" s="12" t="s">
        <v>402</v>
      </c>
      <c r="N34" s="12" t="s">
        <v>76</v>
      </c>
      <c r="O34" s="12" t="s">
        <v>151</v>
      </c>
      <c r="P34" s="12"/>
      <c r="Q34" s="12"/>
      <c r="R34" s="12"/>
      <c r="S34" s="12"/>
      <c r="T34" s="12"/>
    </row>
    <row r="35" ht="15.75" customHeight="1">
      <c r="A35" s="8" t="s">
        <v>404</v>
      </c>
      <c r="B35" s="8" t="s">
        <v>39</v>
      </c>
      <c r="C35" s="8" t="s">
        <v>40</v>
      </c>
      <c r="D35" s="11" t="s">
        <v>406</v>
      </c>
      <c r="E35" s="8" t="s">
        <v>407</v>
      </c>
      <c r="F35" s="8" t="s">
        <v>409</v>
      </c>
      <c r="G35" s="8" t="s">
        <v>272</v>
      </c>
      <c r="H35" s="8" t="s">
        <v>48</v>
      </c>
      <c r="I35" s="8" t="s">
        <v>404</v>
      </c>
      <c r="J35" s="8" t="s">
        <v>49</v>
      </c>
      <c r="K35" s="8" t="s">
        <v>31</v>
      </c>
      <c r="L35" s="8" t="s">
        <v>48</v>
      </c>
      <c r="M35" s="12" t="s">
        <v>413</v>
      </c>
      <c r="N35" s="12" t="s">
        <v>76</v>
      </c>
      <c r="O35" s="12" t="s">
        <v>415</v>
      </c>
      <c r="P35" s="12"/>
      <c r="Q35" s="12"/>
      <c r="R35" s="12"/>
      <c r="S35" s="12"/>
      <c r="T35" s="12"/>
    </row>
    <row r="36" ht="15.75" customHeight="1">
      <c r="A36" s="8" t="s">
        <v>418</v>
      </c>
      <c r="B36" s="8" t="s">
        <v>39</v>
      </c>
      <c r="C36" s="8" t="s">
        <v>40</v>
      </c>
      <c r="D36" s="11" t="s">
        <v>423</v>
      </c>
      <c r="E36" s="8" t="s">
        <v>426</v>
      </c>
      <c r="F36" s="8" t="s">
        <v>427</v>
      </c>
      <c r="G36" s="8" t="s">
        <v>47</v>
      </c>
      <c r="H36" s="8" t="s">
        <v>48</v>
      </c>
      <c r="I36" s="8" t="s">
        <v>418</v>
      </c>
      <c r="J36" s="8" t="s">
        <v>49</v>
      </c>
      <c r="K36" s="8" t="s">
        <v>31</v>
      </c>
      <c r="L36" s="8" t="s">
        <v>48</v>
      </c>
      <c r="M36" s="12" t="s">
        <v>428</v>
      </c>
      <c r="N36" s="12" t="s">
        <v>98</v>
      </c>
      <c r="O36" s="12" t="s">
        <v>430</v>
      </c>
      <c r="P36" s="12"/>
      <c r="Q36" s="12"/>
      <c r="R36" s="12"/>
      <c r="S36" s="12"/>
      <c r="T36" s="12"/>
    </row>
    <row r="37" ht="15.75" customHeight="1">
      <c r="A37" s="8" t="s">
        <v>433</v>
      </c>
      <c r="B37" s="8" t="s">
        <v>39</v>
      </c>
      <c r="C37" s="8" t="s">
        <v>40</v>
      </c>
      <c r="D37" s="11" t="s">
        <v>435</v>
      </c>
      <c r="E37" s="8" t="s">
        <v>436</v>
      </c>
      <c r="F37" s="8" t="s">
        <v>437</v>
      </c>
      <c r="G37" s="8" t="s">
        <v>54</v>
      </c>
      <c r="H37" s="8" t="s">
        <v>48</v>
      </c>
      <c r="I37" s="8" t="s">
        <v>433</v>
      </c>
      <c r="J37" s="8" t="s">
        <v>49</v>
      </c>
      <c r="K37" s="8" t="s">
        <v>31</v>
      </c>
      <c r="L37" s="8" t="s">
        <v>48</v>
      </c>
      <c r="M37" s="12" t="s">
        <v>439</v>
      </c>
      <c r="N37" s="12" t="s">
        <v>98</v>
      </c>
      <c r="O37" s="12" t="s">
        <v>441</v>
      </c>
      <c r="P37" s="12"/>
      <c r="Q37" s="12"/>
      <c r="R37" s="12"/>
      <c r="S37" s="12"/>
      <c r="T37" s="12"/>
    </row>
    <row r="38" ht="15.75" customHeight="1">
      <c r="A38" s="8" t="s">
        <v>447</v>
      </c>
      <c r="B38" s="8" t="s">
        <v>39</v>
      </c>
      <c r="C38" s="8" t="s">
        <v>40</v>
      </c>
      <c r="D38" s="11" t="s">
        <v>449</v>
      </c>
      <c r="E38" s="8" t="s">
        <v>451</v>
      </c>
      <c r="F38" s="8" t="s">
        <v>452</v>
      </c>
      <c r="G38" s="8" t="s">
        <v>47</v>
      </c>
      <c r="H38" s="8" t="s">
        <v>48</v>
      </c>
      <c r="I38" s="8" t="s">
        <v>447</v>
      </c>
      <c r="J38" s="8" t="s">
        <v>49</v>
      </c>
      <c r="K38" s="8" t="s">
        <v>32</v>
      </c>
      <c r="L38" s="8" t="s">
        <v>55</v>
      </c>
      <c r="M38" s="12"/>
      <c r="N38" s="12"/>
      <c r="O38" s="12" t="s">
        <v>276</v>
      </c>
      <c r="P38" s="12"/>
      <c r="Q38" s="12"/>
      <c r="R38" s="12"/>
      <c r="S38" s="12"/>
      <c r="T38" s="12"/>
    </row>
    <row r="39" ht="15.75" customHeight="1">
      <c r="A39" s="8" t="s">
        <v>455</v>
      </c>
      <c r="B39" s="8" t="s">
        <v>39</v>
      </c>
      <c r="C39" s="8" t="s">
        <v>40</v>
      </c>
      <c r="D39" s="11" t="s">
        <v>460</v>
      </c>
      <c r="E39" s="8" t="s">
        <v>462</v>
      </c>
      <c r="F39" s="8" t="s">
        <v>463</v>
      </c>
      <c r="G39" s="8" t="s">
        <v>47</v>
      </c>
      <c r="H39" s="8" t="s">
        <v>48</v>
      </c>
      <c r="I39" s="8" t="s">
        <v>455</v>
      </c>
      <c r="J39" s="8" t="s">
        <v>49</v>
      </c>
      <c r="K39" s="8" t="s">
        <v>31</v>
      </c>
      <c r="L39" s="8" t="s">
        <v>48</v>
      </c>
      <c r="M39" s="12" t="s">
        <v>85</v>
      </c>
      <c r="N39" s="12" t="s">
        <v>56</v>
      </c>
      <c r="O39" s="12" t="s">
        <v>466</v>
      </c>
      <c r="P39" s="12"/>
      <c r="Q39" s="12"/>
      <c r="R39" s="12"/>
      <c r="S39" s="12"/>
      <c r="T39" s="12"/>
    </row>
    <row r="40" ht="15.75" customHeight="1">
      <c r="A40" s="8" t="s">
        <v>470</v>
      </c>
      <c r="B40" s="8" t="s">
        <v>39</v>
      </c>
      <c r="C40" s="8" t="s">
        <v>40</v>
      </c>
      <c r="D40" s="11" t="s">
        <v>472</v>
      </c>
      <c r="E40" s="8" t="s">
        <v>473</v>
      </c>
      <c r="F40" s="8" t="s">
        <v>474</v>
      </c>
      <c r="G40" s="8" t="s">
        <v>47</v>
      </c>
      <c r="H40" s="8" t="s">
        <v>48</v>
      </c>
      <c r="I40" s="8" t="s">
        <v>470</v>
      </c>
      <c r="J40" s="8" t="s">
        <v>49</v>
      </c>
      <c r="K40" s="8" t="s">
        <v>31</v>
      </c>
      <c r="L40" s="8" t="s">
        <v>48</v>
      </c>
      <c r="M40" s="12" t="s">
        <v>479</v>
      </c>
      <c r="N40" s="12" t="s">
        <v>98</v>
      </c>
      <c r="O40" s="12" t="s">
        <v>94</v>
      </c>
      <c r="P40" s="12"/>
      <c r="Q40" s="12"/>
      <c r="R40" s="12"/>
      <c r="S40" s="12"/>
      <c r="T40" s="12"/>
    </row>
    <row r="41" ht="15.75" customHeight="1">
      <c r="A41" s="8" t="s">
        <v>483</v>
      </c>
      <c r="B41" s="8" t="s">
        <v>39</v>
      </c>
      <c r="C41" s="8" t="s">
        <v>40</v>
      </c>
      <c r="D41" s="11" t="s">
        <v>484</v>
      </c>
      <c r="E41" s="8" t="s">
        <v>487</v>
      </c>
      <c r="F41" s="8" t="s">
        <v>488</v>
      </c>
      <c r="G41" s="8" t="s">
        <v>489</v>
      </c>
      <c r="H41" s="8" t="s">
        <v>48</v>
      </c>
      <c r="I41" s="8" t="s">
        <v>483</v>
      </c>
      <c r="J41" s="8" t="s">
        <v>49</v>
      </c>
      <c r="K41" s="8" t="s">
        <v>31</v>
      </c>
      <c r="L41" s="8" t="s">
        <v>48</v>
      </c>
      <c r="M41" s="12" t="s">
        <v>222</v>
      </c>
      <c r="N41" s="12" t="s">
        <v>56</v>
      </c>
      <c r="O41" s="12" t="s">
        <v>106</v>
      </c>
      <c r="P41" s="12" t="s">
        <v>497</v>
      </c>
      <c r="Q41" s="12"/>
      <c r="R41" s="12"/>
      <c r="S41" s="12"/>
      <c r="T41" s="12"/>
    </row>
    <row r="42" ht="15.75" customHeight="1">
      <c r="A42" s="8" t="s">
        <v>498</v>
      </c>
      <c r="B42" s="8" t="s">
        <v>39</v>
      </c>
      <c r="C42" s="8" t="s">
        <v>40</v>
      </c>
      <c r="D42" s="11" t="s">
        <v>499</v>
      </c>
      <c r="E42" s="8" t="s">
        <v>501</v>
      </c>
      <c r="F42" s="8" t="s">
        <v>503</v>
      </c>
      <c r="G42" s="8" t="s">
        <v>504</v>
      </c>
      <c r="H42" s="8" t="s">
        <v>48</v>
      </c>
      <c r="I42" s="8" t="s">
        <v>498</v>
      </c>
      <c r="J42" s="8" t="s">
        <v>49</v>
      </c>
      <c r="K42" s="8" t="s">
        <v>31</v>
      </c>
      <c r="L42" s="8" t="s">
        <v>48</v>
      </c>
      <c r="M42" s="12" t="s">
        <v>511</v>
      </c>
      <c r="N42" s="12" t="s">
        <v>512</v>
      </c>
      <c r="O42" s="12" t="s">
        <v>106</v>
      </c>
      <c r="P42" s="12"/>
      <c r="Q42" s="12"/>
      <c r="R42" s="12"/>
      <c r="S42" s="12"/>
      <c r="T42" s="12"/>
    </row>
    <row r="43" ht="15.75" customHeight="1">
      <c r="A43" s="8" t="s">
        <v>523</v>
      </c>
      <c r="B43" s="8" t="s">
        <v>39</v>
      </c>
      <c r="C43" s="8" t="s">
        <v>40</v>
      </c>
      <c r="D43" s="11" t="s">
        <v>526</v>
      </c>
      <c r="E43" s="8" t="s">
        <v>527</v>
      </c>
      <c r="F43" s="8" t="s">
        <v>528</v>
      </c>
      <c r="G43" s="8" t="s">
        <v>54</v>
      </c>
      <c r="H43" s="8" t="s">
        <v>48</v>
      </c>
      <c r="I43" s="8" t="s">
        <v>523</v>
      </c>
      <c r="J43" s="8" t="s">
        <v>49</v>
      </c>
      <c r="K43" s="8" t="s">
        <v>31</v>
      </c>
      <c r="L43" s="8" t="s">
        <v>48</v>
      </c>
      <c r="M43" s="12" t="s">
        <v>532</v>
      </c>
      <c r="N43" s="12" t="s">
        <v>56</v>
      </c>
      <c r="O43" s="12" t="s">
        <v>151</v>
      </c>
      <c r="P43" s="12"/>
      <c r="Q43" s="12"/>
      <c r="R43" s="12"/>
      <c r="S43" s="12"/>
      <c r="T43" s="12"/>
    </row>
    <row r="44" ht="15.75" customHeight="1">
      <c r="A44" s="8" t="s">
        <v>538</v>
      </c>
      <c r="B44" s="8" t="s">
        <v>39</v>
      </c>
      <c r="C44" s="8" t="s">
        <v>40</v>
      </c>
      <c r="D44" s="11" t="s">
        <v>541</v>
      </c>
      <c r="E44" s="8" t="s">
        <v>543</v>
      </c>
      <c r="F44" s="8" t="s">
        <v>544</v>
      </c>
      <c r="G44" s="8" t="s">
        <v>47</v>
      </c>
      <c r="H44" s="8" t="s">
        <v>48</v>
      </c>
      <c r="I44" s="8" t="s">
        <v>538</v>
      </c>
      <c r="J44" s="8" t="s">
        <v>49</v>
      </c>
      <c r="K44" s="8" t="s">
        <v>31</v>
      </c>
      <c r="L44" s="8" t="s">
        <v>48</v>
      </c>
      <c r="M44" s="12" t="s">
        <v>548</v>
      </c>
      <c r="N44" s="12" t="s">
        <v>76</v>
      </c>
      <c r="O44" s="12" t="s">
        <v>320</v>
      </c>
      <c r="P44" s="12"/>
      <c r="Q44" s="12"/>
      <c r="R44" s="12"/>
      <c r="S44" s="12"/>
      <c r="T44" s="12"/>
    </row>
    <row r="45" ht="15.75" customHeight="1">
      <c r="A45" s="8" t="s">
        <v>554</v>
      </c>
      <c r="B45" s="8" t="s">
        <v>39</v>
      </c>
      <c r="C45" s="8" t="s">
        <v>40</v>
      </c>
      <c r="D45" s="11" t="s">
        <v>556</v>
      </c>
      <c r="E45" s="8" t="s">
        <v>557</v>
      </c>
      <c r="F45" s="8" t="s">
        <v>558</v>
      </c>
      <c r="G45" s="8" t="s">
        <v>47</v>
      </c>
      <c r="H45" s="8" t="s">
        <v>48</v>
      </c>
      <c r="I45" s="8" t="s">
        <v>554</v>
      </c>
      <c r="J45" s="8" t="s">
        <v>49</v>
      </c>
      <c r="K45" s="8" t="s">
        <v>31</v>
      </c>
      <c r="L45" s="8" t="s">
        <v>48</v>
      </c>
      <c r="M45" s="12" t="s">
        <v>561</v>
      </c>
      <c r="N45" s="12" t="s">
        <v>98</v>
      </c>
      <c r="O45" s="12" t="s">
        <v>58</v>
      </c>
      <c r="P45" s="12"/>
      <c r="Q45" s="12"/>
      <c r="R45" s="12"/>
      <c r="S45" s="12"/>
      <c r="T45" s="12"/>
    </row>
    <row r="46" ht="15.75" customHeight="1">
      <c r="A46" s="8" t="s">
        <v>568</v>
      </c>
      <c r="B46" s="8" t="s">
        <v>39</v>
      </c>
      <c r="C46" s="8" t="s">
        <v>40</v>
      </c>
      <c r="D46" s="11" t="s">
        <v>570</v>
      </c>
      <c r="E46" s="8" t="s">
        <v>571</v>
      </c>
      <c r="F46" s="8" t="s">
        <v>572</v>
      </c>
      <c r="G46" s="8" t="s">
        <v>47</v>
      </c>
      <c r="H46" s="8" t="s">
        <v>48</v>
      </c>
      <c r="I46" s="8" t="s">
        <v>568</v>
      </c>
      <c r="J46" s="8" t="s">
        <v>49</v>
      </c>
      <c r="K46" s="8" t="s">
        <v>31</v>
      </c>
      <c r="L46" s="8" t="s">
        <v>48</v>
      </c>
      <c r="M46" s="12" t="s">
        <v>575</v>
      </c>
      <c r="N46" s="12" t="s">
        <v>98</v>
      </c>
      <c r="O46" s="12" t="s">
        <v>118</v>
      </c>
      <c r="P46" s="12"/>
      <c r="Q46" s="12"/>
      <c r="R46" s="12"/>
      <c r="S46" s="12"/>
      <c r="T46" s="12"/>
    </row>
    <row r="47" ht="15.75" customHeight="1">
      <c r="A47" s="8" t="s">
        <v>580</v>
      </c>
      <c r="B47" s="8" t="s">
        <v>39</v>
      </c>
      <c r="C47" s="8" t="s">
        <v>40</v>
      </c>
      <c r="D47" s="11" t="s">
        <v>583</v>
      </c>
      <c r="E47" s="8" t="s">
        <v>584</v>
      </c>
      <c r="F47" s="8" t="s">
        <v>586</v>
      </c>
      <c r="G47" s="8" t="s">
        <v>47</v>
      </c>
      <c r="H47" s="8" t="s">
        <v>48</v>
      </c>
      <c r="I47" s="8" t="s">
        <v>580</v>
      </c>
      <c r="J47" s="8" t="s">
        <v>49</v>
      </c>
      <c r="K47" s="8" t="s">
        <v>31</v>
      </c>
      <c r="L47" s="8" t="s">
        <v>48</v>
      </c>
      <c r="M47" s="12" t="s">
        <v>592</v>
      </c>
      <c r="N47" s="12" t="s">
        <v>76</v>
      </c>
      <c r="O47" s="12" t="s">
        <v>594</v>
      </c>
      <c r="P47" s="12"/>
      <c r="Q47" s="12"/>
      <c r="R47" s="12"/>
      <c r="S47" s="12"/>
      <c r="T47" s="12"/>
    </row>
    <row r="48" ht="15.75" customHeight="1">
      <c r="A48" s="8" t="s">
        <v>597</v>
      </c>
      <c r="B48" s="8" t="s">
        <v>39</v>
      </c>
      <c r="C48" s="8" t="s">
        <v>40</v>
      </c>
      <c r="D48" s="11" t="s">
        <v>600</v>
      </c>
      <c r="E48" s="8" t="s">
        <v>601</v>
      </c>
      <c r="F48" s="8" t="s">
        <v>602</v>
      </c>
      <c r="G48" s="8" t="s">
        <v>47</v>
      </c>
      <c r="H48" s="8" t="s">
        <v>48</v>
      </c>
      <c r="I48" s="8" t="s">
        <v>597</v>
      </c>
      <c r="J48" s="8" t="s">
        <v>49</v>
      </c>
      <c r="K48" s="8" t="s">
        <v>31</v>
      </c>
      <c r="L48" s="8" t="s">
        <v>48</v>
      </c>
      <c r="M48" s="12" t="s">
        <v>606</v>
      </c>
      <c r="N48" s="12" t="s">
        <v>56</v>
      </c>
      <c r="O48" s="12" t="s">
        <v>441</v>
      </c>
      <c r="P48" s="12"/>
      <c r="Q48" s="12"/>
      <c r="R48" s="12"/>
      <c r="S48" s="12"/>
      <c r="T48" s="12"/>
    </row>
    <row r="49" ht="15.75" customHeight="1">
      <c r="A49" s="8" t="s">
        <v>611</v>
      </c>
      <c r="B49" s="8" t="s">
        <v>39</v>
      </c>
      <c r="C49" s="8" t="s">
        <v>40</v>
      </c>
      <c r="D49" s="11" t="s">
        <v>614</v>
      </c>
      <c r="E49" s="8" t="s">
        <v>616</v>
      </c>
      <c r="F49" s="8" t="s">
        <v>618</v>
      </c>
      <c r="G49" s="8" t="s">
        <v>489</v>
      </c>
      <c r="H49" s="8" t="s">
        <v>48</v>
      </c>
      <c r="I49" s="8" t="s">
        <v>611</v>
      </c>
      <c r="J49" s="8" t="s">
        <v>49</v>
      </c>
      <c r="K49" s="8" t="s">
        <v>31</v>
      </c>
      <c r="L49" s="8" t="s">
        <v>48</v>
      </c>
      <c r="M49" s="12" t="s">
        <v>621</v>
      </c>
      <c r="N49" s="12" t="s">
        <v>76</v>
      </c>
      <c r="O49" s="12" t="s">
        <v>109</v>
      </c>
      <c r="P49" s="12"/>
      <c r="Q49" s="12"/>
      <c r="R49" s="12"/>
      <c r="S49" s="12"/>
      <c r="T49" s="12"/>
    </row>
    <row r="50" ht="15.75" customHeight="1">
      <c r="A50" s="8" t="s">
        <v>630</v>
      </c>
      <c r="B50" s="8" t="s">
        <v>39</v>
      </c>
      <c r="C50" s="8" t="s">
        <v>40</v>
      </c>
      <c r="D50" s="11" t="s">
        <v>632</v>
      </c>
      <c r="E50" s="8" t="s">
        <v>633</v>
      </c>
      <c r="F50" s="8" t="s">
        <v>634</v>
      </c>
      <c r="G50" s="8" t="s">
        <v>47</v>
      </c>
      <c r="H50" s="8" t="s">
        <v>48</v>
      </c>
      <c r="I50" s="8" t="s">
        <v>630</v>
      </c>
      <c r="J50" s="8" t="s">
        <v>49</v>
      </c>
      <c r="K50" s="8" t="s">
        <v>31</v>
      </c>
      <c r="L50" s="8" t="s">
        <v>48</v>
      </c>
      <c r="M50" s="12" t="s">
        <v>621</v>
      </c>
      <c r="N50" s="12" t="s">
        <v>76</v>
      </c>
      <c r="O50" s="12" t="s">
        <v>267</v>
      </c>
      <c r="P50" s="12"/>
      <c r="Q50" s="12"/>
      <c r="R50" s="12"/>
      <c r="S50" s="12"/>
      <c r="T50" s="12"/>
    </row>
    <row r="51" ht="15.75" customHeight="1">
      <c r="A51" s="8" t="s">
        <v>640</v>
      </c>
      <c r="B51" s="8" t="s">
        <v>39</v>
      </c>
      <c r="C51" s="8" t="s">
        <v>40</v>
      </c>
      <c r="D51" s="11" t="s">
        <v>644</v>
      </c>
      <c r="E51" s="8" t="s">
        <v>645</v>
      </c>
      <c r="F51" s="8" t="s">
        <v>646</v>
      </c>
      <c r="G51" s="8" t="s">
        <v>47</v>
      </c>
      <c r="H51" s="8" t="s">
        <v>48</v>
      </c>
      <c r="I51" s="8" t="s">
        <v>640</v>
      </c>
      <c r="J51" s="8" t="s">
        <v>49</v>
      </c>
      <c r="K51" s="8" t="s">
        <v>31</v>
      </c>
      <c r="L51" s="8" t="s">
        <v>48</v>
      </c>
      <c r="M51" s="12" t="s">
        <v>647</v>
      </c>
      <c r="N51" s="12" t="s">
        <v>56</v>
      </c>
      <c r="O51" s="12" t="s">
        <v>649</v>
      </c>
      <c r="P51" s="12" t="s">
        <v>650</v>
      </c>
      <c r="Q51" s="12"/>
      <c r="R51" s="12"/>
      <c r="S51" s="12"/>
      <c r="T51" s="12"/>
    </row>
    <row r="52" ht="15.75" customHeight="1">
      <c r="A52" s="8" t="s">
        <v>654</v>
      </c>
      <c r="B52" s="8" t="s">
        <v>39</v>
      </c>
      <c r="C52" s="8" t="s">
        <v>40</v>
      </c>
      <c r="D52" s="11" t="s">
        <v>658</v>
      </c>
      <c r="E52" s="8" t="s">
        <v>660</v>
      </c>
      <c r="F52" s="8" t="s">
        <v>661</v>
      </c>
      <c r="G52" s="8" t="s">
        <v>54</v>
      </c>
      <c r="H52" s="8" t="s">
        <v>48</v>
      </c>
      <c r="I52" s="8" t="s">
        <v>654</v>
      </c>
      <c r="J52" s="8" t="s">
        <v>49</v>
      </c>
      <c r="K52" s="8" t="s">
        <v>31</v>
      </c>
      <c r="L52" s="8" t="s">
        <v>48</v>
      </c>
      <c r="M52" s="12" t="s">
        <v>662</v>
      </c>
      <c r="N52" s="12" t="s">
        <v>76</v>
      </c>
      <c r="O52" s="12" t="s">
        <v>118</v>
      </c>
      <c r="P52" s="12"/>
      <c r="Q52" s="12"/>
      <c r="R52" s="12"/>
      <c r="S52" s="12"/>
      <c r="T52" s="12"/>
    </row>
    <row r="53" ht="15.75" customHeight="1">
      <c r="A53" s="8" t="s">
        <v>663</v>
      </c>
      <c r="B53" s="8" t="s">
        <v>39</v>
      </c>
      <c r="C53" s="8" t="s">
        <v>40</v>
      </c>
      <c r="D53" s="11" t="s">
        <v>665</v>
      </c>
      <c r="E53" s="8" t="s">
        <v>666</v>
      </c>
      <c r="F53" s="8" t="s">
        <v>667</v>
      </c>
      <c r="G53" s="8" t="s">
        <v>54</v>
      </c>
      <c r="H53" s="8" t="s">
        <v>48</v>
      </c>
      <c r="I53" s="8" t="s">
        <v>663</v>
      </c>
      <c r="J53" s="8" t="s">
        <v>49</v>
      </c>
      <c r="K53" s="8" t="s">
        <v>31</v>
      </c>
      <c r="L53" s="8" t="s">
        <v>48</v>
      </c>
      <c r="M53" s="12" t="s">
        <v>671</v>
      </c>
      <c r="N53" s="12" t="s">
        <v>56</v>
      </c>
      <c r="O53" s="12" t="s">
        <v>672</v>
      </c>
      <c r="P53" s="12"/>
      <c r="Q53" s="12"/>
      <c r="R53" s="12"/>
      <c r="S53" s="12"/>
      <c r="T53" s="12"/>
    </row>
    <row r="54" ht="15.75" customHeight="1">
      <c r="A54" s="8" t="s">
        <v>673</v>
      </c>
      <c r="B54" s="8" t="s">
        <v>39</v>
      </c>
      <c r="C54" s="8" t="s">
        <v>250</v>
      </c>
      <c r="D54" s="11" t="s">
        <v>675</v>
      </c>
      <c r="E54" s="8" t="s">
        <v>676</v>
      </c>
      <c r="F54" s="8" t="s">
        <v>678</v>
      </c>
      <c r="G54" s="8" t="s">
        <v>220</v>
      </c>
      <c r="H54" s="8" t="s">
        <v>48</v>
      </c>
      <c r="I54" s="8" t="s">
        <v>673</v>
      </c>
      <c r="J54" s="8" t="s">
        <v>49</v>
      </c>
      <c r="K54" s="8" t="s">
        <v>31</v>
      </c>
      <c r="L54" s="8" t="s">
        <v>48</v>
      </c>
      <c r="M54" s="12" t="s">
        <v>682</v>
      </c>
      <c r="N54" s="12" t="s">
        <v>76</v>
      </c>
      <c r="O54" s="12" t="s">
        <v>683</v>
      </c>
      <c r="P54" s="12"/>
      <c r="Q54" s="12"/>
      <c r="R54" s="12"/>
      <c r="S54" s="12"/>
      <c r="T54" s="12"/>
    </row>
    <row r="55" ht="15.75" customHeight="1">
      <c r="A55" s="8" t="s">
        <v>684</v>
      </c>
      <c r="B55" s="8" t="s">
        <v>39</v>
      </c>
      <c r="C55" s="8" t="s">
        <v>40</v>
      </c>
      <c r="D55" s="11" t="s">
        <v>686</v>
      </c>
      <c r="E55" s="8" t="s">
        <v>687</v>
      </c>
      <c r="F55" s="8" t="s">
        <v>688</v>
      </c>
      <c r="G55" s="8" t="s">
        <v>47</v>
      </c>
      <c r="H55" s="8" t="s">
        <v>48</v>
      </c>
      <c r="I55" s="8" t="s">
        <v>684</v>
      </c>
      <c r="J55" s="8" t="s">
        <v>49</v>
      </c>
      <c r="K55" s="8" t="s">
        <v>31</v>
      </c>
      <c r="L55" s="8" t="s">
        <v>48</v>
      </c>
      <c r="M55" s="12" t="s">
        <v>691</v>
      </c>
      <c r="N55" s="12" t="s">
        <v>56</v>
      </c>
      <c r="O55" s="12" t="s">
        <v>106</v>
      </c>
      <c r="P55" s="12"/>
      <c r="Q55" s="12"/>
      <c r="R55" s="12"/>
      <c r="S55" s="12"/>
      <c r="T55" s="12"/>
    </row>
    <row r="56" ht="15.75" customHeight="1">
      <c r="A56" s="8" t="s">
        <v>694</v>
      </c>
      <c r="B56" s="8" t="s">
        <v>39</v>
      </c>
      <c r="C56" s="8" t="s">
        <v>40</v>
      </c>
      <c r="D56" s="11" t="s">
        <v>695</v>
      </c>
      <c r="E56" s="8" t="s">
        <v>696</v>
      </c>
      <c r="F56" s="8" t="s">
        <v>697</v>
      </c>
      <c r="G56" s="8" t="s">
        <v>54</v>
      </c>
      <c r="H56" s="8" t="s">
        <v>48</v>
      </c>
      <c r="I56" s="8" t="s">
        <v>694</v>
      </c>
      <c r="J56" s="8" t="s">
        <v>49</v>
      </c>
      <c r="K56" s="8" t="s">
        <v>31</v>
      </c>
      <c r="L56" s="8" t="s">
        <v>48</v>
      </c>
      <c r="M56" s="12" t="s">
        <v>701</v>
      </c>
      <c r="N56" s="12" t="s">
        <v>76</v>
      </c>
      <c r="O56" s="12" t="s">
        <v>77</v>
      </c>
      <c r="P56" s="12"/>
      <c r="Q56" s="12"/>
      <c r="R56" s="12"/>
      <c r="S56" s="12"/>
      <c r="T56" s="12"/>
    </row>
    <row r="57" ht="15.75" customHeight="1">
      <c r="A57" s="8" t="s">
        <v>703</v>
      </c>
      <c r="B57" s="8" t="s">
        <v>39</v>
      </c>
      <c r="C57" s="8" t="s">
        <v>250</v>
      </c>
      <c r="D57" s="11" t="s">
        <v>704</v>
      </c>
      <c r="E57" s="8" t="s">
        <v>706</v>
      </c>
      <c r="F57" s="8" t="s">
        <v>708</v>
      </c>
      <c r="G57" s="8" t="s">
        <v>47</v>
      </c>
      <c r="H57" s="8" t="s">
        <v>48</v>
      </c>
      <c r="I57" s="8" t="s">
        <v>703</v>
      </c>
      <c r="J57" s="8" t="s">
        <v>49</v>
      </c>
      <c r="K57" s="8" t="s">
        <v>32</v>
      </c>
      <c r="L57" s="8" t="s">
        <v>48</v>
      </c>
      <c r="M57" s="12" t="s">
        <v>710</v>
      </c>
      <c r="N57" s="12" t="s">
        <v>391</v>
      </c>
      <c r="O57" s="12" t="s">
        <v>530</v>
      </c>
      <c r="P57" s="12" t="s">
        <v>712</v>
      </c>
      <c r="Q57" s="12"/>
      <c r="R57" s="12"/>
      <c r="S57" s="12"/>
      <c r="T57" s="12"/>
    </row>
    <row r="58" ht="15.75" customHeight="1">
      <c r="A58" s="8" t="s">
        <v>714</v>
      </c>
      <c r="B58" s="8" t="s">
        <v>39</v>
      </c>
      <c r="C58" s="8" t="s">
        <v>40</v>
      </c>
      <c r="D58" s="11" t="s">
        <v>718</v>
      </c>
      <c r="E58" s="8" t="s">
        <v>719</v>
      </c>
      <c r="F58" s="8" t="s">
        <v>720</v>
      </c>
      <c r="G58" s="8" t="s">
        <v>220</v>
      </c>
      <c r="H58" s="8" t="s">
        <v>48</v>
      </c>
      <c r="I58" s="8" t="s">
        <v>714</v>
      </c>
      <c r="J58" s="8" t="s">
        <v>49</v>
      </c>
      <c r="K58" s="8" t="s">
        <v>31</v>
      </c>
      <c r="L58" s="8" t="s">
        <v>48</v>
      </c>
      <c r="M58" s="12" t="s">
        <v>722</v>
      </c>
      <c r="N58" s="12" t="s">
        <v>56</v>
      </c>
      <c r="O58" s="12" t="s">
        <v>207</v>
      </c>
      <c r="P58" s="12"/>
      <c r="Q58" s="12"/>
      <c r="R58" s="12"/>
      <c r="S58" s="12"/>
      <c r="T58" s="12"/>
    </row>
    <row r="59" ht="15.75" customHeight="1">
      <c r="A59" s="8" t="s">
        <v>727</v>
      </c>
      <c r="B59" s="8" t="s">
        <v>39</v>
      </c>
      <c r="C59" s="8" t="s">
        <v>40</v>
      </c>
      <c r="D59" s="11" t="s">
        <v>728</v>
      </c>
      <c r="E59" s="8" t="s">
        <v>729</v>
      </c>
      <c r="F59" s="8" t="s">
        <v>730</v>
      </c>
      <c r="G59" s="8" t="s">
        <v>47</v>
      </c>
      <c r="H59" s="8" t="s">
        <v>48</v>
      </c>
      <c r="I59" s="8" t="s">
        <v>727</v>
      </c>
      <c r="J59" s="8" t="s">
        <v>49</v>
      </c>
      <c r="K59" s="8" t="s">
        <v>31</v>
      </c>
      <c r="L59" s="8" t="s">
        <v>48</v>
      </c>
      <c r="M59" s="12" t="s">
        <v>732</v>
      </c>
      <c r="N59" s="12" t="s">
        <v>76</v>
      </c>
      <c r="O59" s="12" t="s">
        <v>118</v>
      </c>
      <c r="P59" s="12"/>
      <c r="Q59" s="12"/>
      <c r="R59" s="12"/>
      <c r="S59" s="12"/>
      <c r="T59" s="12"/>
    </row>
    <row r="60" ht="15.75" customHeight="1">
      <c r="A60" s="8" t="s">
        <v>735</v>
      </c>
      <c r="B60" s="8" t="s">
        <v>39</v>
      </c>
      <c r="C60" s="8" t="s">
        <v>394</v>
      </c>
      <c r="D60" s="11" t="s">
        <v>737</v>
      </c>
      <c r="E60" s="8" t="s">
        <v>738</v>
      </c>
      <c r="F60" s="8" t="s">
        <v>739</v>
      </c>
      <c r="G60" s="8" t="s">
        <v>47</v>
      </c>
      <c r="H60" s="8" t="s">
        <v>48</v>
      </c>
      <c r="I60" s="8" t="s">
        <v>735</v>
      </c>
      <c r="J60" s="8" t="s">
        <v>49</v>
      </c>
      <c r="K60" s="8" t="s">
        <v>31</v>
      </c>
      <c r="L60" s="8" t="s">
        <v>48</v>
      </c>
      <c r="M60" s="12" t="s">
        <v>740</v>
      </c>
      <c r="N60" s="12" t="s">
        <v>741</v>
      </c>
      <c r="O60" s="12" t="s">
        <v>58</v>
      </c>
      <c r="P60" s="12" t="s">
        <v>742</v>
      </c>
      <c r="Q60" s="12"/>
      <c r="R60" s="12"/>
      <c r="S60" s="12"/>
      <c r="T60" s="12"/>
    </row>
    <row r="61" ht="15.75" customHeight="1">
      <c r="A61" s="8" t="s">
        <v>746</v>
      </c>
      <c r="B61" s="8" t="s">
        <v>39</v>
      </c>
      <c r="C61" s="8" t="s">
        <v>40</v>
      </c>
      <c r="D61" s="11" t="s">
        <v>748</v>
      </c>
      <c r="E61" s="8" t="s">
        <v>749</v>
      </c>
      <c r="F61" s="8" t="s">
        <v>750</v>
      </c>
      <c r="G61" s="8" t="s">
        <v>47</v>
      </c>
      <c r="H61" s="8" t="s">
        <v>48</v>
      </c>
      <c r="I61" s="8" t="s">
        <v>746</v>
      </c>
      <c r="J61" s="8" t="s">
        <v>49</v>
      </c>
      <c r="K61" s="8" t="s">
        <v>31</v>
      </c>
      <c r="L61" s="8" t="s">
        <v>48</v>
      </c>
      <c r="M61" s="12" t="s">
        <v>751</v>
      </c>
      <c r="N61" s="12" t="s">
        <v>76</v>
      </c>
      <c r="O61" s="12" t="s">
        <v>118</v>
      </c>
      <c r="P61" s="12" t="s">
        <v>753</v>
      </c>
      <c r="Q61" s="12"/>
      <c r="R61" s="12"/>
      <c r="S61" s="12"/>
      <c r="T61" s="12"/>
    </row>
    <row r="62" ht="15.75" customHeight="1">
      <c r="A62" s="8" t="s">
        <v>757</v>
      </c>
      <c r="B62" s="8" t="s">
        <v>39</v>
      </c>
      <c r="C62" s="8" t="s">
        <v>40</v>
      </c>
      <c r="D62" s="11" t="s">
        <v>758</v>
      </c>
      <c r="E62" s="8" t="s">
        <v>759</v>
      </c>
      <c r="F62" s="8" t="s">
        <v>760</v>
      </c>
      <c r="G62" s="8" t="s">
        <v>117</v>
      </c>
      <c r="H62" s="8" t="s">
        <v>48</v>
      </c>
      <c r="I62" s="8" t="s">
        <v>757</v>
      </c>
      <c r="J62" s="8" t="s">
        <v>49</v>
      </c>
      <c r="K62" s="8" t="s">
        <v>31</v>
      </c>
      <c r="L62" s="8" t="s">
        <v>48</v>
      </c>
      <c r="M62" s="12" t="s">
        <v>764</v>
      </c>
      <c r="N62" s="12" t="s">
        <v>766</v>
      </c>
      <c r="O62" s="12" t="s">
        <v>58</v>
      </c>
      <c r="P62" s="12" t="s">
        <v>768</v>
      </c>
      <c r="Q62" s="12"/>
      <c r="R62" s="12"/>
      <c r="S62" s="12"/>
      <c r="T62" s="12"/>
    </row>
    <row r="63" ht="15.75" customHeight="1">
      <c r="A63" s="8" t="s">
        <v>769</v>
      </c>
      <c r="B63" s="8" t="s">
        <v>39</v>
      </c>
      <c r="C63" s="8" t="s">
        <v>40</v>
      </c>
      <c r="D63" s="11" t="s">
        <v>770</v>
      </c>
      <c r="E63" s="8" t="s">
        <v>771</v>
      </c>
      <c r="F63" s="8" t="s">
        <v>772</v>
      </c>
      <c r="G63" s="8" t="s">
        <v>47</v>
      </c>
      <c r="H63" s="8" t="s">
        <v>48</v>
      </c>
      <c r="I63" s="8" t="s">
        <v>769</v>
      </c>
      <c r="J63" s="8" t="s">
        <v>49</v>
      </c>
      <c r="K63" s="8" t="s">
        <v>31</v>
      </c>
      <c r="L63" s="8" t="s">
        <v>48</v>
      </c>
      <c r="M63" s="12" t="s">
        <v>773</v>
      </c>
      <c r="N63" s="12" t="s">
        <v>76</v>
      </c>
      <c r="O63" s="12" t="s">
        <v>118</v>
      </c>
      <c r="P63" s="12" t="s">
        <v>776</v>
      </c>
      <c r="Q63" s="12"/>
      <c r="R63" s="12"/>
      <c r="S63" s="12"/>
      <c r="T63" s="12"/>
    </row>
    <row r="64" ht="15.75" customHeight="1">
      <c r="A64" s="8" t="s">
        <v>779</v>
      </c>
      <c r="B64" s="8" t="s">
        <v>39</v>
      </c>
      <c r="C64" s="8" t="s">
        <v>40</v>
      </c>
      <c r="D64" s="11" t="s">
        <v>782</v>
      </c>
      <c r="E64" s="8" t="s">
        <v>783</v>
      </c>
      <c r="F64" s="8" t="s">
        <v>784</v>
      </c>
      <c r="G64" s="8" t="s">
        <v>47</v>
      </c>
      <c r="H64" s="8" t="s">
        <v>48</v>
      </c>
      <c r="I64" s="8" t="s">
        <v>779</v>
      </c>
      <c r="J64" s="8" t="s">
        <v>49</v>
      </c>
      <c r="K64" s="8" t="s">
        <v>31</v>
      </c>
      <c r="L64" s="8" t="s">
        <v>48</v>
      </c>
      <c r="M64" s="12" t="s">
        <v>789</v>
      </c>
      <c r="N64" s="12" t="s">
        <v>76</v>
      </c>
      <c r="O64" s="12" t="s">
        <v>58</v>
      </c>
      <c r="P64" s="12" t="s">
        <v>791</v>
      </c>
      <c r="Q64" s="12"/>
      <c r="R64" s="12"/>
      <c r="S64" s="12"/>
      <c r="T64" s="12"/>
    </row>
    <row r="65" ht="15.75" customHeight="1">
      <c r="A65" s="8" t="s">
        <v>795</v>
      </c>
      <c r="B65" s="8" t="s">
        <v>39</v>
      </c>
      <c r="C65" s="8" t="s">
        <v>40</v>
      </c>
      <c r="D65" s="11" t="s">
        <v>796</v>
      </c>
      <c r="E65" s="8" t="s">
        <v>797</v>
      </c>
      <c r="F65" s="8" t="s">
        <v>799</v>
      </c>
      <c r="G65" s="8" t="s">
        <v>54</v>
      </c>
      <c r="H65" s="8" t="s">
        <v>48</v>
      </c>
      <c r="I65" s="8" t="s">
        <v>795</v>
      </c>
      <c r="J65" s="8" t="s">
        <v>49</v>
      </c>
      <c r="K65" s="8" t="s">
        <v>31</v>
      </c>
      <c r="L65" s="8" t="s">
        <v>48</v>
      </c>
      <c r="M65" s="12" t="s">
        <v>804</v>
      </c>
      <c r="N65" s="12" t="s">
        <v>56</v>
      </c>
      <c r="O65" s="12" t="s">
        <v>806</v>
      </c>
      <c r="P65" s="12"/>
      <c r="Q65" s="12"/>
      <c r="R65" s="12"/>
      <c r="S65" s="12"/>
      <c r="T65" s="12"/>
    </row>
    <row r="66" ht="15.75" customHeight="1">
      <c r="A66" s="8" t="s">
        <v>810</v>
      </c>
      <c r="B66" s="8" t="s">
        <v>39</v>
      </c>
      <c r="C66" s="8" t="s">
        <v>40</v>
      </c>
      <c r="D66" s="11" t="s">
        <v>811</v>
      </c>
      <c r="E66" s="8" t="s">
        <v>812</v>
      </c>
      <c r="F66" s="8" t="s">
        <v>814</v>
      </c>
      <c r="G66" s="8" t="s">
        <v>117</v>
      </c>
      <c r="H66" s="8" t="s">
        <v>48</v>
      </c>
      <c r="I66" s="8" t="s">
        <v>810</v>
      </c>
      <c r="J66" s="8" t="s">
        <v>49</v>
      </c>
      <c r="K66" s="8" t="s">
        <v>31</v>
      </c>
      <c r="L66" s="8" t="s">
        <v>48</v>
      </c>
      <c r="M66" s="12" t="s">
        <v>820</v>
      </c>
      <c r="N66" s="12" t="s">
        <v>699</v>
      </c>
      <c r="O66" s="12" t="s">
        <v>207</v>
      </c>
      <c r="P66" s="12" t="s">
        <v>822</v>
      </c>
      <c r="Q66" s="12"/>
      <c r="R66" s="12"/>
      <c r="S66" s="12"/>
      <c r="T66" s="12"/>
    </row>
    <row r="67" ht="15.75" customHeight="1">
      <c r="A67" s="8" t="s">
        <v>825</v>
      </c>
      <c r="B67" s="8" t="s">
        <v>39</v>
      </c>
      <c r="C67" s="8" t="s">
        <v>40</v>
      </c>
      <c r="D67" s="11" t="s">
        <v>828</v>
      </c>
      <c r="E67" s="8" t="s">
        <v>830</v>
      </c>
      <c r="F67" s="8" t="s">
        <v>844</v>
      </c>
      <c r="G67" s="8" t="s">
        <v>47</v>
      </c>
      <c r="H67" s="8" t="s">
        <v>48</v>
      </c>
      <c r="I67" s="8" t="s">
        <v>825</v>
      </c>
      <c r="J67" s="8" t="s">
        <v>49</v>
      </c>
      <c r="K67" s="8" t="s">
        <v>31</v>
      </c>
      <c r="L67" s="8" t="s">
        <v>48</v>
      </c>
      <c r="M67" s="12" t="s">
        <v>606</v>
      </c>
      <c r="N67" s="12" t="s">
        <v>56</v>
      </c>
      <c r="O67" s="12" t="s">
        <v>58</v>
      </c>
      <c r="P67" s="12"/>
      <c r="Q67" s="12"/>
      <c r="R67" s="12"/>
      <c r="S67" s="12"/>
      <c r="T67" s="12"/>
    </row>
    <row r="68" ht="15.75" customHeight="1">
      <c r="A68" s="8" t="s">
        <v>856</v>
      </c>
      <c r="B68" s="8" t="s">
        <v>39</v>
      </c>
      <c r="C68" s="8" t="s">
        <v>40</v>
      </c>
      <c r="D68" s="11" t="s">
        <v>863</v>
      </c>
      <c r="E68" s="8" t="s">
        <v>864</v>
      </c>
      <c r="F68" s="8" t="s">
        <v>865</v>
      </c>
      <c r="G68" s="8" t="s">
        <v>47</v>
      </c>
      <c r="H68" s="8" t="s">
        <v>48</v>
      </c>
      <c r="I68" s="8" t="s">
        <v>856</v>
      </c>
      <c r="J68" s="8" t="s">
        <v>49</v>
      </c>
      <c r="K68" s="8" t="s">
        <v>31</v>
      </c>
      <c r="L68" s="8" t="s">
        <v>48</v>
      </c>
      <c r="M68" s="12" t="s">
        <v>869</v>
      </c>
      <c r="N68" s="12" t="s">
        <v>56</v>
      </c>
      <c r="O68" s="12" t="s">
        <v>58</v>
      </c>
      <c r="P68" s="12" t="s">
        <v>874</v>
      </c>
      <c r="Q68" s="12"/>
      <c r="R68" s="12"/>
      <c r="S68" s="12"/>
      <c r="T68" s="12"/>
    </row>
    <row r="69" ht="15.75" customHeight="1">
      <c r="A69" s="8" t="s">
        <v>878</v>
      </c>
      <c r="B69" s="8" t="s">
        <v>39</v>
      </c>
      <c r="C69" s="8" t="s">
        <v>40</v>
      </c>
      <c r="D69" s="11" t="s">
        <v>880</v>
      </c>
      <c r="E69" s="8" t="s">
        <v>881</v>
      </c>
      <c r="F69" s="8" t="s">
        <v>882</v>
      </c>
      <c r="G69" s="8" t="s">
        <v>47</v>
      </c>
      <c r="H69" s="8" t="s">
        <v>48</v>
      </c>
      <c r="I69" s="8" t="s">
        <v>878</v>
      </c>
      <c r="J69" s="8" t="s">
        <v>49</v>
      </c>
      <c r="K69" s="8" t="s">
        <v>31</v>
      </c>
      <c r="L69" s="8" t="s">
        <v>48</v>
      </c>
      <c r="M69" s="12" t="s">
        <v>886</v>
      </c>
      <c r="N69" s="12" t="s">
        <v>76</v>
      </c>
      <c r="O69" s="12" t="s">
        <v>888</v>
      </c>
      <c r="P69" s="12"/>
      <c r="Q69" s="12"/>
      <c r="R69" s="12"/>
      <c r="S69" s="12"/>
      <c r="T69" s="12"/>
    </row>
    <row r="70" ht="15.75" customHeight="1">
      <c r="A70" s="8" t="s">
        <v>896</v>
      </c>
      <c r="B70" s="8" t="s">
        <v>39</v>
      </c>
      <c r="C70" s="8" t="s">
        <v>40</v>
      </c>
      <c r="D70" s="11" t="s">
        <v>897</v>
      </c>
      <c r="E70" s="8" t="s">
        <v>898</v>
      </c>
      <c r="F70" s="8" t="s">
        <v>899</v>
      </c>
      <c r="G70" s="8" t="s">
        <v>54</v>
      </c>
      <c r="H70" s="8" t="s">
        <v>48</v>
      </c>
      <c r="I70" s="8" t="s">
        <v>896</v>
      </c>
      <c r="J70" s="8" t="s">
        <v>49</v>
      </c>
      <c r="K70" s="8" t="s">
        <v>32</v>
      </c>
      <c r="L70" s="8" t="s">
        <v>55</v>
      </c>
      <c r="M70" s="12"/>
      <c r="N70" s="12"/>
      <c r="O70" s="12" t="s">
        <v>276</v>
      </c>
      <c r="P70" s="12"/>
      <c r="Q70" s="12"/>
      <c r="R70" s="12"/>
      <c r="S70" s="12"/>
      <c r="T70" s="12"/>
    </row>
    <row r="71" ht="15.75" customHeight="1">
      <c r="A71" s="8" t="s">
        <v>905</v>
      </c>
      <c r="B71" s="8" t="s">
        <v>39</v>
      </c>
      <c r="C71" s="8" t="s">
        <v>40</v>
      </c>
      <c r="D71" s="11" t="s">
        <v>909</v>
      </c>
      <c r="E71" s="8" t="s">
        <v>911</v>
      </c>
      <c r="F71" s="8" t="s">
        <v>913</v>
      </c>
      <c r="G71" s="8" t="s">
        <v>54</v>
      </c>
      <c r="H71" s="8" t="s">
        <v>48</v>
      </c>
      <c r="I71" s="8" t="s">
        <v>905</v>
      </c>
      <c r="J71" s="8" t="s">
        <v>49</v>
      </c>
      <c r="K71" s="8" t="s">
        <v>31</v>
      </c>
      <c r="L71" s="8" t="s">
        <v>48</v>
      </c>
      <c r="M71" s="12" t="s">
        <v>915</v>
      </c>
      <c r="N71" s="12" t="s">
        <v>56</v>
      </c>
      <c r="O71" s="12" t="s">
        <v>118</v>
      </c>
      <c r="P71" s="12"/>
      <c r="Q71" s="12"/>
      <c r="R71" s="12"/>
      <c r="S71" s="12"/>
      <c r="T71" s="12"/>
    </row>
    <row r="72" ht="15.75" customHeight="1">
      <c r="A72" s="8" t="s">
        <v>920</v>
      </c>
      <c r="B72" s="8" t="s">
        <v>39</v>
      </c>
      <c r="C72" s="8" t="s">
        <v>40</v>
      </c>
      <c r="D72" s="11" t="s">
        <v>923</v>
      </c>
      <c r="E72" s="8" t="s">
        <v>925</v>
      </c>
      <c r="F72" s="8" t="s">
        <v>927</v>
      </c>
      <c r="G72" s="8" t="s">
        <v>47</v>
      </c>
      <c r="H72" s="8" t="s">
        <v>48</v>
      </c>
      <c r="I72" s="8" t="s">
        <v>920</v>
      </c>
      <c r="J72" s="8" t="s">
        <v>49</v>
      </c>
      <c r="K72" s="8" t="s">
        <v>31</v>
      </c>
      <c r="L72" s="8" t="s">
        <v>48</v>
      </c>
      <c r="M72" s="12" t="s">
        <v>933</v>
      </c>
      <c r="N72" s="12" t="s">
        <v>98</v>
      </c>
      <c r="O72" s="12" t="s">
        <v>106</v>
      </c>
      <c r="P72" s="12"/>
      <c r="Q72" s="12"/>
      <c r="R72" s="12"/>
      <c r="S72" s="12"/>
      <c r="T72" s="12"/>
    </row>
    <row r="73" ht="15.75" customHeight="1">
      <c r="A73" s="8" t="s">
        <v>936</v>
      </c>
      <c r="B73" s="8" t="s">
        <v>39</v>
      </c>
      <c r="C73" s="8" t="s">
        <v>40</v>
      </c>
      <c r="D73" s="11" t="s">
        <v>940</v>
      </c>
      <c r="E73" s="8" t="s">
        <v>941</v>
      </c>
      <c r="F73" s="8" t="s">
        <v>942</v>
      </c>
      <c r="G73" s="8" t="s">
        <v>47</v>
      </c>
      <c r="H73" s="8" t="s">
        <v>48</v>
      </c>
      <c r="I73" s="8" t="s">
        <v>936</v>
      </c>
      <c r="J73" s="8" t="s">
        <v>49</v>
      </c>
      <c r="K73" s="8" t="s">
        <v>31</v>
      </c>
      <c r="L73" s="8" t="s">
        <v>48</v>
      </c>
      <c r="M73" s="12" t="s">
        <v>947</v>
      </c>
      <c r="N73" s="12" t="s">
        <v>98</v>
      </c>
      <c r="O73" s="12" t="s">
        <v>207</v>
      </c>
      <c r="P73" s="12"/>
      <c r="Q73" s="12"/>
      <c r="R73" s="12"/>
      <c r="S73" s="12"/>
      <c r="T73" s="12"/>
    </row>
    <row r="74" ht="15.75" customHeight="1">
      <c r="A74" s="8" t="s">
        <v>951</v>
      </c>
      <c r="B74" s="8" t="s">
        <v>39</v>
      </c>
      <c r="C74" s="8" t="s">
        <v>40</v>
      </c>
      <c r="D74" s="11" t="s">
        <v>954</v>
      </c>
      <c r="E74" s="8" t="s">
        <v>955</v>
      </c>
      <c r="F74" s="8" t="s">
        <v>957</v>
      </c>
      <c r="G74" s="8" t="s">
        <v>54</v>
      </c>
      <c r="H74" s="8" t="s">
        <v>48</v>
      </c>
      <c r="I74" s="8" t="s">
        <v>951</v>
      </c>
      <c r="J74" s="8" t="s">
        <v>49</v>
      </c>
      <c r="K74" s="8" t="s">
        <v>31</v>
      </c>
      <c r="L74" s="8" t="s">
        <v>48</v>
      </c>
      <c r="M74" s="12" t="s">
        <v>963</v>
      </c>
      <c r="N74" s="12" t="s">
        <v>391</v>
      </c>
      <c r="O74" s="12" t="s">
        <v>412</v>
      </c>
      <c r="P74" s="12"/>
      <c r="Q74" s="12"/>
      <c r="R74" s="12"/>
      <c r="S74" s="12"/>
      <c r="T74" s="12"/>
    </row>
    <row r="75" ht="15.75" customHeight="1">
      <c r="A75" s="8" t="s">
        <v>966</v>
      </c>
      <c r="B75" s="8" t="s">
        <v>39</v>
      </c>
      <c r="C75" s="8" t="s">
        <v>40</v>
      </c>
      <c r="D75" s="11" t="s">
        <v>969</v>
      </c>
      <c r="E75" s="8" t="s">
        <v>970</v>
      </c>
      <c r="F75" s="8" t="s">
        <v>971</v>
      </c>
      <c r="G75" s="8" t="s">
        <v>972</v>
      </c>
      <c r="H75" s="8" t="s">
        <v>48</v>
      </c>
      <c r="I75" s="8" t="s">
        <v>966</v>
      </c>
      <c r="J75" s="8" t="s">
        <v>49</v>
      </c>
      <c r="K75" s="8" t="s">
        <v>31</v>
      </c>
      <c r="L75" s="8" t="s">
        <v>48</v>
      </c>
      <c r="M75" s="12" t="s">
        <v>304</v>
      </c>
      <c r="N75" s="12" t="s">
        <v>56</v>
      </c>
      <c r="O75" s="12" t="s">
        <v>225</v>
      </c>
      <c r="P75" s="12"/>
      <c r="Q75" s="12"/>
      <c r="R75" s="12"/>
      <c r="S75" s="12"/>
      <c r="T75" s="12"/>
    </row>
    <row r="76" ht="15.75" customHeight="1">
      <c r="A76" s="8" t="s">
        <v>983</v>
      </c>
      <c r="B76" s="8" t="s">
        <v>39</v>
      </c>
      <c r="C76" s="8" t="s">
        <v>40</v>
      </c>
      <c r="D76" s="11" t="s">
        <v>985</v>
      </c>
      <c r="E76" s="8" t="s">
        <v>987</v>
      </c>
      <c r="F76" s="8" t="s">
        <v>989</v>
      </c>
      <c r="G76" s="8" t="s">
        <v>220</v>
      </c>
      <c r="H76" s="8" t="s">
        <v>48</v>
      </c>
      <c r="I76" s="8" t="s">
        <v>983</v>
      </c>
      <c r="J76" s="8" t="s">
        <v>49</v>
      </c>
      <c r="K76" s="8" t="s">
        <v>31</v>
      </c>
      <c r="L76" s="8" t="s">
        <v>48</v>
      </c>
      <c r="M76" s="12" t="s">
        <v>993</v>
      </c>
      <c r="N76" s="12" t="s">
        <v>76</v>
      </c>
      <c r="O76" s="12" t="s">
        <v>58</v>
      </c>
      <c r="P76" s="12"/>
      <c r="Q76" s="12"/>
      <c r="R76" s="12"/>
      <c r="S76" s="12"/>
      <c r="T76" s="12"/>
    </row>
    <row r="77" ht="15.75" customHeight="1">
      <c r="A77" s="8" t="s">
        <v>1002</v>
      </c>
      <c r="B77" s="8" t="s">
        <v>39</v>
      </c>
      <c r="C77" s="8" t="s">
        <v>40</v>
      </c>
      <c r="D77" s="11" t="s">
        <v>1004</v>
      </c>
      <c r="E77" s="8" t="s">
        <v>1005</v>
      </c>
      <c r="F77" s="8" t="s">
        <v>1006</v>
      </c>
      <c r="G77" s="8" t="s">
        <v>47</v>
      </c>
      <c r="H77" s="8" t="s">
        <v>48</v>
      </c>
      <c r="I77" s="8" t="s">
        <v>1002</v>
      </c>
      <c r="J77" s="8" t="s">
        <v>49</v>
      </c>
      <c r="K77" s="8" t="s">
        <v>31</v>
      </c>
      <c r="L77" s="8" t="s">
        <v>48</v>
      </c>
      <c r="M77" s="12" t="s">
        <v>1011</v>
      </c>
      <c r="N77" s="12" t="s">
        <v>56</v>
      </c>
      <c r="O77" s="12" t="s">
        <v>77</v>
      </c>
      <c r="P77" s="12"/>
      <c r="Q77" s="12"/>
      <c r="R77" s="12"/>
      <c r="S77" s="12"/>
      <c r="T77" s="12"/>
    </row>
    <row r="78" ht="15.75" customHeight="1">
      <c r="A78" s="8" t="s">
        <v>1017</v>
      </c>
      <c r="B78" s="8" t="s">
        <v>39</v>
      </c>
      <c r="C78" s="8" t="s">
        <v>40</v>
      </c>
      <c r="D78" s="11" t="s">
        <v>1021</v>
      </c>
      <c r="E78" s="8" t="s">
        <v>1022</v>
      </c>
      <c r="F78" s="8" t="s">
        <v>1023</v>
      </c>
      <c r="G78" s="8" t="s">
        <v>220</v>
      </c>
      <c r="H78" s="8" t="s">
        <v>48</v>
      </c>
      <c r="I78" s="8" t="s">
        <v>1017</v>
      </c>
      <c r="J78" s="8" t="s">
        <v>49</v>
      </c>
      <c r="K78" s="8" t="s">
        <v>32</v>
      </c>
      <c r="L78" s="8" t="s">
        <v>48</v>
      </c>
      <c r="M78" s="12" t="s">
        <v>1026</v>
      </c>
      <c r="N78" s="12" t="s">
        <v>391</v>
      </c>
      <c r="O78" s="12" t="s">
        <v>1027</v>
      </c>
      <c r="P78" s="12"/>
      <c r="Q78" s="12"/>
      <c r="R78" s="12"/>
      <c r="S78" s="12"/>
      <c r="T78" s="12"/>
    </row>
    <row r="79" ht="15.75" customHeight="1">
      <c r="A79" s="8" t="s">
        <v>1032</v>
      </c>
      <c r="B79" s="8" t="s">
        <v>39</v>
      </c>
      <c r="C79" s="8" t="s">
        <v>40</v>
      </c>
      <c r="D79" s="11" t="s">
        <v>1033</v>
      </c>
      <c r="E79" s="8" t="s">
        <v>1034</v>
      </c>
      <c r="F79" s="8" t="s">
        <v>1035</v>
      </c>
      <c r="G79" s="8" t="s">
        <v>47</v>
      </c>
      <c r="H79" s="8" t="s">
        <v>48</v>
      </c>
      <c r="I79" s="8" t="s">
        <v>1032</v>
      </c>
      <c r="J79" s="8" t="s">
        <v>49</v>
      </c>
      <c r="K79" s="8" t="s">
        <v>31</v>
      </c>
      <c r="L79" s="8" t="s">
        <v>48</v>
      </c>
      <c r="M79" s="12" t="s">
        <v>148</v>
      </c>
      <c r="N79" s="12" t="s">
        <v>56</v>
      </c>
      <c r="O79" s="12" t="s">
        <v>1039</v>
      </c>
      <c r="P79" s="12"/>
      <c r="Q79" s="12"/>
      <c r="R79" s="12"/>
      <c r="S79" s="12"/>
      <c r="T79" s="12"/>
    </row>
    <row r="80" ht="15.75" customHeight="1">
      <c r="A80" s="8" t="s">
        <v>1041</v>
      </c>
      <c r="B80" s="8" t="s">
        <v>39</v>
      </c>
      <c r="C80" s="8" t="s">
        <v>40</v>
      </c>
      <c r="D80" s="11" t="s">
        <v>1043</v>
      </c>
      <c r="E80" s="8" t="s">
        <v>1045</v>
      </c>
      <c r="F80" s="8" t="s">
        <v>1046</v>
      </c>
      <c r="G80" s="8" t="s">
        <v>47</v>
      </c>
      <c r="H80" s="8" t="s">
        <v>48</v>
      </c>
      <c r="I80" s="8" t="s">
        <v>1041</v>
      </c>
      <c r="J80" s="8" t="s">
        <v>49</v>
      </c>
      <c r="K80" s="8" t="s">
        <v>31</v>
      </c>
      <c r="L80" s="8" t="s">
        <v>48</v>
      </c>
      <c r="M80" s="12" t="s">
        <v>691</v>
      </c>
      <c r="N80" s="12" t="s">
        <v>56</v>
      </c>
      <c r="O80" s="12" t="s">
        <v>151</v>
      </c>
      <c r="P80" s="12"/>
      <c r="Q80" s="12"/>
      <c r="R80" s="12"/>
      <c r="S80" s="12"/>
      <c r="T80" s="12"/>
    </row>
    <row r="81" ht="15.75" customHeight="1">
      <c r="A81" s="8" t="s">
        <v>1054</v>
      </c>
      <c r="B81" s="8" t="s">
        <v>39</v>
      </c>
      <c r="C81" s="8" t="s">
        <v>40</v>
      </c>
      <c r="D81" s="11" t="s">
        <v>1058</v>
      </c>
      <c r="E81" s="8" t="s">
        <v>1060</v>
      </c>
      <c r="F81" s="8" t="s">
        <v>1061</v>
      </c>
      <c r="G81" s="8" t="s">
        <v>47</v>
      </c>
      <c r="H81" s="8" t="s">
        <v>48</v>
      </c>
      <c r="I81" s="8" t="s">
        <v>1054</v>
      </c>
      <c r="J81" s="8" t="s">
        <v>49</v>
      </c>
      <c r="K81" s="8" t="s">
        <v>31</v>
      </c>
      <c r="L81" s="8" t="s">
        <v>48</v>
      </c>
      <c r="M81" s="12" t="s">
        <v>1062</v>
      </c>
      <c r="N81" s="12" t="s">
        <v>56</v>
      </c>
      <c r="O81" s="12" t="s">
        <v>1064</v>
      </c>
      <c r="P81" s="12"/>
      <c r="Q81" s="12"/>
      <c r="R81" s="12"/>
      <c r="S81" s="12"/>
      <c r="T81" s="12"/>
    </row>
    <row r="82" ht="15.75" customHeight="1">
      <c r="A82" s="8" t="s">
        <v>1067</v>
      </c>
      <c r="B82" s="8" t="s">
        <v>39</v>
      </c>
      <c r="C82" s="8" t="s">
        <v>40</v>
      </c>
      <c r="D82" s="11" t="s">
        <v>1069</v>
      </c>
      <c r="E82" s="8" t="s">
        <v>1070</v>
      </c>
      <c r="F82" s="8" t="s">
        <v>1071</v>
      </c>
      <c r="G82" s="8" t="s">
        <v>47</v>
      </c>
      <c r="H82" s="8" t="s">
        <v>48</v>
      </c>
      <c r="I82" s="8" t="s">
        <v>1067</v>
      </c>
      <c r="J82" s="8" t="s">
        <v>49</v>
      </c>
      <c r="K82" s="8" t="s">
        <v>31</v>
      </c>
      <c r="L82" s="8" t="s">
        <v>48</v>
      </c>
      <c r="M82" s="12" t="s">
        <v>1073</v>
      </c>
      <c r="N82" s="12" t="s">
        <v>56</v>
      </c>
      <c r="O82" s="12" t="s">
        <v>1077</v>
      </c>
      <c r="P82" s="12"/>
      <c r="Q82" s="12"/>
      <c r="R82" s="12"/>
      <c r="S82" s="12"/>
      <c r="T82" s="12"/>
    </row>
    <row r="83" ht="15.75" customHeight="1">
      <c r="A83" s="8" t="s">
        <v>1081</v>
      </c>
      <c r="B83" s="8" t="s">
        <v>39</v>
      </c>
      <c r="C83" s="8" t="s">
        <v>40</v>
      </c>
      <c r="D83" s="11" t="s">
        <v>1083</v>
      </c>
      <c r="E83" s="8" t="s">
        <v>1085</v>
      </c>
      <c r="F83" s="8" t="s">
        <v>1087</v>
      </c>
      <c r="G83" s="8" t="s">
        <v>47</v>
      </c>
      <c r="H83" s="8" t="s">
        <v>48</v>
      </c>
      <c r="I83" s="8" t="s">
        <v>1081</v>
      </c>
      <c r="J83" s="8" t="s">
        <v>49</v>
      </c>
      <c r="K83" s="8" t="s">
        <v>31</v>
      </c>
      <c r="L83" s="8" t="s">
        <v>48</v>
      </c>
      <c r="M83" s="12" t="s">
        <v>1089</v>
      </c>
      <c r="N83" s="12" t="s">
        <v>76</v>
      </c>
      <c r="O83" s="12" t="s">
        <v>207</v>
      </c>
      <c r="P83" s="12"/>
      <c r="Q83" s="12"/>
      <c r="R83" s="12"/>
      <c r="S83" s="12"/>
      <c r="T83" s="12"/>
    </row>
    <row r="84" ht="15.75" customHeight="1">
      <c r="A84" s="8" t="s">
        <v>1095</v>
      </c>
      <c r="B84" s="8" t="s">
        <v>39</v>
      </c>
      <c r="C84" s="8" t="s">
        <v>394</v>
      </c>
      <c r="D84" s="11" t="s">
        <v>1097</v>
      </c>
      <c r="E84" s="8" t="s">
        <v>1099</v>
      </c>
      <c r="F84" s="8" t="s">
        <v>1100</v>
      </c>
      <c r="G84" s="8" t="s">
        <v>47</v>
      </c>
      <c r="H84" s="8" t="s">
        <v>48</v>
      </c>
      <c r="I84" s="8" t="s">
        <v>1095</v>
      </c>
      <c r="J84" s="8" t="s">
        <v>49</v>
      </c>
      <c r="K84" s="8" t="s">
        <v>31</v>
      </c>
      <c r="L84" s="8" t="s">
        <v>48</v>
      </c>
      <c r="M84" s="12" t="s">
        <v>1102</v>
      </c>
      <c r="N84" s="12" t="s">
        <v>98</v>
      </c>
      <c r="O84" s="12" t="s">
        <v>118</v>
      </c>
      <c r="P84" s="12"/>
      <c r="Q84" s="12"/>
      <c r="R84" s="12"/>
      <c r="S84" s="12"/>
      <c r="T84" s="12"/>
    </row>
    <row r="85" ht="15.75" customHeight="1">
      <c r="A85" s="8" t="s">
        <v>1105</v>
      </c>
      <c r="B85" s="8" t="s">
        <v>39</v>
      </c>
      <c r="C85" s="8" t="s">
        <v>40</v>
      </c>
      <c r="D85" s="11" t="s">
        <v>1110</v>
      </c>
      <c r="E85" s="8" t="s">
        <v>1112</v>
      </c>
      <c r="F85" s="8" t="s">
        <v>1114</v>
      </c>
      <c r="G85" s="8" t="s">
        <v>47</v>
      </c>
      <c r="H85" s="8" t="s">
        <v>48</v>
      </c>
      <c r="I85" s="8" t="s">
        <v>1105</v>
      </c>
      <c r="J85" s="8" t="s">
        <v>49</v>
      </c>
      <c r="K85" s="8" t="s">
        <v>31</v>
      </c>
      <c r="L85" s="8" t="s">
        <v>48</v>
      </c>
      <c r="M85" s="12" t="s">
        <v>1116</v>
      </c>
      <c r="N85" s="12" t="s">
        <v>98</v>
      </c>
      <c r="O85" s="12" t="s">
        <v>151</v>
      </c>
      <c r="P85" s="12"/>
      <c r="Q85" s="12"/>
      <c r="R85" s="12"/>
      <c r="S85" s="12"/>
      <c r="T85" s="12"/>
    </row>
    <row r="86" ht="15.75" customHeight="1">
      <c r="A86" s="8" t="s">
        <v>1118</v>
      </c>
      <c r="B86" s="8" t="s">
        <v>39</v>
      </c>
      <c r="C86" s="8" t="s">
        <v>40</v>
      </c>
      <c r="D86" s="11" t="s">
        <v>1122</v>
      </c>
      <c r="E86" s="8" t="s">
        <v>1124</v>
      </c>
      <c r="F86" s="8" t="s">
        <v>1127</v>
      </c>
      <c r="G86" s="8" t="s">
        <v>47</v>
      </c>
      <c r="H86" s="8" t="s">
        <v>48</v>
      </c>
      <c r="I86" s="8" t="s">
        <v>1118</v>
      </c>
      <c r="J86" s="8" t="s">
        <v>49</v>
      </c>
      <c r="K86" s="8" t="s">
        <v>31</v>
      </c>
      <c r="L86" s="8" t="s">
        <v>48</v>
      </c>
      <c r="M86" s="12" t="s">
        <v>1129</v>
      </c>
      <c r="N86" s="12" t="s">
        <v>56</v>
      </c>
      <c r="O86" s="12" t="s">
        <v>109</v>
      </c>
      <c r="P86" s="12"/>
      <c r="Q86" s="12"/>
      <c r="R86" s="12"/>
      <c r="S86" s="12"/>
      <c r="T86" s="12"/>
    </row>
    <row r="87" ht="15.75" customHeight="1">
      <c r="A87" s="8" t="s">
        <v>1130</v>
      </c>
      <c r="B87" s="8" t="s">
        <v>39</v>
      </c>
      <c r="C87" s="8" t="s">
        <v>40</v>
      </c>
      <c r="D87" s="11" t="s">
        <v>1133</v>
      </c>
      <c r="E87" s="8" t="s">
        <v>1134</v>
      </c>
      <c r="F87" s="8" t="s">
        <v>1135</v>
      </c>
      <c r="G87" s="8" t="s">
        <v>47</v>
      </c>
      <c r="H87" s="8" t="s">
        <v>48</v>
      </c>
      <c r="I87" s="8" t="s">
        <v>1130</v>
      </c>
      <c r="J87" s="8" t="s">
        <v>49</v>
      </c>
      <c r="K87" s="8" t="s">
        <v>31</v>
      </c>
      <c r="L87" s="8" t="s">
        <v>48</v>
      </c>
      <c r="M87" s="12" t="s">
        <v>1141</v>
      </c>
      <c r="N87" s="12" t="s">
        <v>56</v>
      </c>
      <c r="O87" s="12" t="s">
        <v>360</v>
      </c>
      <c r="P87" s="12"/>
      <c r="Q87" s="12"/>
      <c r="R87" s="12"/>
      <c r="S87" s="12"/>
      <c r="T87" s="12"/>
    </row>
    <row r="88" ht="15.75" customHeight="1">
      <c r="A88" s="8" t="s">
        <v>689</v>
      </c>
      <c r="B88" s="8" t="s">
        <v>39</v>
      </c>
      <c r="C88" s="8" t="s">
        <v>307</v>
      </c>
      <c r="D88" s="11" t="s">
        <v>1144</v>
      </c>
      <c r="E88" s="8" t="s">
        <v>692</v>
      </c>
      <c r="F88" s="8" t="s">
        <v>693</v>
      </c>
      <c r="G88" s="8" t="s">
        <v>47</v>
      </c>
      <c r="H88" s="8" t="s">
        <v>48</v>
      </c>
      <c r="I88" s="8" t="s">
        <v>689</v>
      </c>
      <c r="J88" s="8" t="s">
        <v>49</v>
      </c>
      <c r="K88" s="8" t="s">
        <v>31</v>
      </c>
      <c r="L88" s="8" t="s">
        <v>48</v>
      </c>
      <c r="M88" s="12" t="s">
        <v>698</v>
      </c>
      <c r="N88" s="12" t="s">
        <v>699</v>
      </c>
      <c r="O88" s="12" t="s">
        <v>700</v>
      </c>
      <c r="P88" s="12"/>
      <c r="Q88" s="12"/>
      <c r="R88" s="12"/>
      <c r="S88" s="12"/>
      <c r="T88" s="12"/>
    </row>
    <row r="89" ht="15.75" customHeight="1">
      <c r="A89" s="8" t="s">
        <v>1149</v>
      </c>
      <c r="B89" s="8" t="s">
        <v>39</v>
      </c>
      <c r="C89" s="8" t="s">
        <v>40</v>
      </c>
      <c r="D89" s="11" t="s">
        <v>1150</v>
      </c>
      <c r="E89" s="8" t="s">
        <v>1152</v>
      </c>
      <c r="F89" s="8" t="s">
        <v>1153</v>
      </c>
      <c r="G89" s="8" t="s">
        <v>47</v>
      </c>
      <c r="H89" s="8" t="s">
        <v>48</v>
      </c>
      <c r="I89" s="8" t="s">
        <v>1149</v>
      </c>
      <c r="J89" s="8" t="s">
        <v>49</v>
      </c>
      <c r="K89" s="8" t="s">
        <v>31</v>
      </c>
      <c r="L89" s="8" t="s">
        <v>48</v>
      </c>
      <c r="M89" s="12" t="s">
        <v>85</v>
      </c>
      <c r="N89" s="12" t="s">
        <v>56</v>
      </c>
      <c r="O89" s="12" t="s">
        <v>888</v>
      </c>
      <c r="P89" s="12"/>
      <c r="Q89" s="12"/>
      <c r="R89" s="12"/>
      <c r="S89" s="12"/>
      <c r="T89" s="12"/>
    </row>
    <row r="90" ht="15.75" customHeight="1">
      <c r="A90" s="8" t="s">
        <v>1156</v>
      </c>
      <c r="B90" s="8" t="s">
        <v>39</v>
      </c>
      <c r="C90" s="8" t="s">
        <v>40</v>
      </c>
      <c r="D90" s="11" t="s">
        <v>1157</v>
      </c>
      <c r="E90" s="8" t="s">
        <v>1158</v>
      </c>
      <c r="F90" s="8" t="s">
        <v>1159</v>
      </c>
      <c r="G90" s="8" t="s">
        <v>272</v>
      </c>
      <c r="H90" s="8" t="s">
        <v>48</v>
      </c>
      <c r="I90" s="8" t="s">
        <v>1156</v>
      </c>
      <c r="J90" s="8" t="s">
        <v>49</v>
      </c>
      <c r="K90" s="8" t="s">
        <v>31</v>
      </c>
      <c r="L90" s="8" t="s">
        <v>55</v>
      </c>
      <c r="M90" s="12"/>
      <c r="N90" s="12"/>
      <c r="O90" s="12" t="s">
        <v>1164</v>
      </c>
      <c r="P90" s="12"/>
      <c r="Q90" s="12"/>
      <c r="R90" s="12"/>
      <c r="S90" s="12"/>
      <c r="T90" s="12"/>
    </row>
    <row r="91" ht="15.75" customHeight="1">
      <c r="A91" s="8" t="s">
        <v>1165</v>
      </c>
      <c r="B91" s="8" t="s">
        <v>39</v>
      </c>
      <c r="C91" s="8" t="s">
        <v>40</v>
      </c>
      <c r="D91" s="11" t="s">
        <v>1166</v>
      </c>
      <c r="E91" s="8" t="s">
        <v>1168</v>
      </c>
      <c r="F91" s="8" t="s">
        <v>1169</v>
      </c>
      <c r="G91" s="8" t="s">
        <v>272</v>
      </c>
      <c r="H91" s="8" t="s">
        <v>48</v>
      </c>
      <c r="I91" s="8" t="s">
        <v>1165</v>
      </c>
      <c r="J91" s="8" t="s">
        <v>49</v>
      </c>
      <c r="K91" s="8" t="s">
        <v>31</v>
      </c>
      <c r="L91" s="8" t="s">
        <v>48</v>
      </c>
      <c r="M91" s="12" t="s">
        <v>85</v>
      </c>
      <c r="N91" s="12" t="s">
        <v>56</v>
      </c>
      <c r="O91" s="12" t="s">
        <v>225</v>
      </c>
      <c r="P91" s="12"/>
      <c r="Q91" s="12"/>
      <c r="R91" s="12"/>
      <c r="S91" s="12"/>
      <c r="T91" s="12"/>
    </row>
    <row r="92" ht="15.75" customHeight="1">
      <c r="A92" s="8" t="s">
        <v>1173</v>
      </c>
      <c r="B92" s="8" t="s">
        <v>39</v>
      </c>
      <c r="C92" s="8" t="s">
        <v>40</v>
      </c>
      <c r="D92" s="11" t="s">
        <v>1174</v>
      </c>
      <c r="E92" s="8" t="s">
        <v>1175</v>
      </c>
      <c r="F92" s="8" t="s">
        <v>1176</v>
      </c>
      <c r="G92" s="8" t="s">
        <v>117</v>
      </c>
      <c r="H92" s="8" t="s">
        <v>48</v>
      </c>
      <c r="I92" s="8" t="s">
        <v>1173</v>
      </c>
      <c r="J92" s="8" t="s">
        <v>49</v>
      </c>
      <c r="K92" s="8" t="s">
        <v>31</v>
      </c>
      <c r="L92" s="8" t="s">
        <v>48</v>
      </c>
      <c r="M92" s="12" t="s">
        <v>1178</v>
      </c>
      <c r="N92" s="12" t="s">
        <v>56</v>
      </c>
      <c r="O92" s="12" t="s">
        <v>1180</v>
      </c>
      <c r="P92" s="12"/>
      <c r="Q92" s="12"/>
      <c r="R92" s="12"/>
      <c r="S92" s="12"/>
      <c r="T92" s="12"/>
    </row>
    <row r="93" ht="15.75" customHeight="1">
      <c r="A93" s="8" t="s">
        <v>1183</v>
      </c>
      <c r="B93" s="8" t="s">
        <v>39</v>
      </c>
      <c r="C93" s="8" t="s">
        <v>40</v>
      </c>
      <c r="D93" s="11" t="s">
        <v>1184</v>
      </c>
      <c r="E93" s="8" t="s">
        <v>1185</v>
      </c>
      <c r="F93" s="8" t="s">
        <v>1186</v>
      </c>
      <c r="G93" s="8" t="s">
        <v>47</v>
      </c>
      <c r="H93" s="8" t="s">
        <v>48</v>
      </c>
      <c r="I93" s="8" t="s">
        <v>1183</v>
      </c>
      <c r="J93" s="8" t="s">
        <v>49</v>
      </c>
      <c r="K93" s="8" t="s">
        <v>31</v>
      </c>
      <c r="L93" s="8" t="s">
        <v>48</v>
      </c>
      <c r="M93" s="12" t="s">
        <v>1187</v>
      </c>
      <c r="N93" s="12" t="s">
        <v>98</v>
      </c>
      <c r="O93" s="12" t="s">
        <v>225</v>
      </c>
      <c r="P93" s="12"/>
      <c r="Q93" s="12"/>
      <c r="R93" s="12"/>
      <c r="S93" s="12"/>
      <c r="T93" s="12"/>
    </row>
    <row r="94" ht="15.75" customHeight="1">
      <c r="A94" s="8" t="s">
        <v>1189</v>
      </c>
      <c r="B94" s="8" t="s">
        <v>39</v>
      </c>
      <c r="C94" s="8" t="s">
        <v>40</v>
      </c>
      <c r="D94" s="11" t="s">
        <v>1192</v>
      </c>
      <c r="E94" s="8" t="s">
        <v>1193</v>
      </c>
      <c r="F94" s="8" t="s">
        <v>1194</v>
      </c>
      <c r="G94" s="8" t="s">
        <v>1195</v>
      </c>
      <c r="H94" s="8" t="s">
        <v>48</v>
      </c>
      <c r="I94" s="8" t="s">
        <v>1189</v>
      </c>
      <c r="J94" s="8" t="s">
        <v>49</v>
      </c>
      <c r="K94" s="8" t="s">
        <v>31</v>
      </c>
      <c r="L94" s="8" t="s">
        <v>48</v>
      </c>
      <c r="M94" s="12" t="s">
        <v>1196</v>
      </c>
      <c r="N94" s="12" t="s">
        <v>391</v>
      </c>
      <c r="O94" s="12" t="s">
        <v>225</v>
      </c>
      <c r="P94" s="12"/>
      <c r="Q94" s="12"/>
      <c r="R94" s="12"/>
      <c r="S94" s="12"/>
      <c r="T94" s="12"/>
    </row>
    <row r="95" ht="15.75" customHeight="1">
      <c r="A95" s="8" t="s">
        <v>1197</v>
      </c>
      <c r="B95" s="8" t="s">
        <v>39</v>
      </c>
      <c r="C95" s="8" t="s">
        <v>40</v>
      </c>
      <c r="D95" s="11" t="s">
        <v>1206</v>
      </c>
      <c r="E95" s="8" t="s">
        <v>1208</v>
      </c>
      <c r="F95" s="8" t="s">
        <v>1210</v>
      </c>
      <c r="G95" s="8" t="s">
        <v>54</v>
      </c>
      <c r="H95" s="8" t="s">
        <v>48</v>
      </c>
      <c r="I95" s="8" t="s">
        <v>1197</v>
      </c>
      <c r="J95" s="8" t="s">
        <v>49</v>
      </c>
      <c r="K95" s="8" t="s">
        <v>31</v>
      </c>
      <c r="L95" s="8" t="s">
        <v>48</v>
      </c>
      <c r="M95" s="12" t="s">
        <v>1212</v>
      </c>
      <c r="N95" s="12" t="s">
        <v>391</v>
      </c>
      <c r="O95" s="12" t="s">
        <v>225</v>
      </c>
      <c r="P95" s="12"/>
      <c r="Q95" s="12"/>
      <c r="R95" s="12"/>
      <c r="S95" s="12"/>
      <c r="T95" s="12"/>
    </row>
    <row r="96" ht="15.75" customHeight="1">
      <c r="A96" s="8" t="s">
        <v>1215</v>
      </c>
      <c r="B96" s="8" t="s">
        <v>39</v>
      </c>
      <c r="C96" s="8" t="s">
        <v>250</v>
      </c>
      <c r="D96" s="11" t="s">
        <v>1219</v>
      </c>
      <c r="E96" s="8" t="s">
        <v>1220</v>
      </c>
      <c r="F96" s="8" t="s">
        <v>1221</v>
      </c>
      <c r="G96" s="8" t="s">
        <v>54</v>
      </c>
      <c r="H96" s="8" t="s">
        <v>48</v>
      </c>
      <c r="I96" s="8" t="s">
        <v>1215</v>
      </c>
      <c r="J96" s="8" t="s">
        <v>49</v>
      </c>
      <c r="K96" s="8" t="s">
        <v>31</v>
      </c>
      <c r="L96" s="8" t="s">
        <v>48</v>
      </c>
      <c r="M96" s="12" t="s">
        <v>1222</v>
      </c>
      <c r="N96" s="12" t="s">
        <v>76</v>
      </c>
      <c r="O96" s="12" t="s">
        <v>1224</v>
      </c>
      <c r="P96" s="12"/>
      <c r="Q96" s="12"/>
      <c r="R96" s="12"/>
      <c r="S96" s="12"/>
      <c r="T96" s="12"/>
    </row>
    <row r="97" ht="15.75" customHeight="1">
      <c r="A97" s="8" t="s">
        <v>1227</v>
      </c>
      <c r="B97" s="8" t="s">
        <v>39</v>
      </c>
      <c r="C97" s="8" t="s">
        <v>250</v>
      </c>
      <c r="D97" s="11" t="s">
        <v>1230</v>
      </c>
      <c r="E97" s="8" t="s">
        <v>1232</v>
      </c>
      <c r="F97" s="8" t="s">
        <v>1233</v>
      </c>
      <c r="G97" s="8" t="s">
        <v>54</v>
      </c>
      <c r="H97" s="8" t="s">
        <v>48</v>
      </c>
      <c r="I97" s="8" t="s">
        <v>1227</v>
      </c>
      <c r="J97" s="8" t="s">
        <v>49</v>
      </c>
      <c r="K97" s="8" t="s">
        <v>31</v>
      </c>
      <c r="L97" s="8" t="s">
        <v>48</v>
      </c>
      <c r="M97" s="12" t="s">
        <v>1234</v>
      </c>
      <c r="N97" s="12" t="s">
        <v>56</v>
      </c>
      <c r="O97" s="12" t="s">
        <v>1235</v>
      </c>
      <c r="P97" s="12"/>
      <c r="Q97" s="12"/>
      <c r="R97" s="12"/>
      <c r="S97" s="12"/>
      <c r="T97" s="12"/>
    </row>
    <row r="98" ht="15.75" customHeight="1">
      <c r="A98" s="8" t="s">
        <v>1237</v>
      </c>
      <c r="B98" s="8" t="s">
        <v>39</v>
      </c>
      <c r="C98" s="8" t="s">
        <v>40</v>
      </c>
      <c r="D98" s="11" t="s">
        <v>1238</v>
      </c>
      <c r="E98" s="8" t="s">
        <v>1239</v>
      </c>
      <c r="F98" s="8" t="s">
        <v>1241</v>
      </c>
      <c r="G98" s="8" t="s">
        <v>54</v>
      </c>
      <c r="H98" s="8" t="s">
        <v>48</v>
      </c>
      <c r="I98" s="8" t="s">
        <v>1237</v>
      </c>
      <c r="J98" s="8" t="s">
        <v>49</v>
      </c>
      <c r="K98" s="8" t="s">
        <v>31</v>
      </c>
      <c r="L98" s="8" t="s">
        <v>48</v>
      </c>
      <c r="M98" s="12" t="s">
        <v>1244</v>
      </c>
      <c r="N98" s="12" t="s">
        <v>391</v>
      </c>
      <c r="O98" s="12" t="s">
        <v>267</v>
      </c>
      <c r="P98" s="12"/>
      <c r="Q98" s="12"/>
      <c r="R98" s="12"/>
      <c r="S98" s="12"/>
      <c r="T98" s="12"/>
    </row>
    <row r="99" ht="15.75" customHeight="1">
      <c r="A99" s="8" t="s">
        <v>1245</v>
      </c>
      <c r="B99" s="8" t="s">
        <v>39</v>
      </c>
      <c r="C99" s="8" t="s">
        <v>40</v>
      </c>
      <c r="D99" s="11" t="s">
        <v>1246</v>
      </c>
      <c r="E99" s="8" t="s">
        <v>1248</v>
      </c>
      <c r="F99" s="8" t="s">
        <v>1249</v>
      </c>
      <c r="G99" s="8" t="s">
        <v>54</v>
      </c>
      <c r="H99" s="8" t="s">
        <v>48</v>
      </c>
      <c r="I99" s="8" t="s">
        <v>1245</v>
      </c>
      <c r="J99" s="8" t="s">
        <v>49</v>
      </c>
      <c r="K99" s="8" t="s">
        <v>31</v>
      </c>
      <c r="L99" s="8" t="s">
        <v>48</v>
      </c>
      <c r="M99" s="12" t="s">
        <v>1251</v>
      </c>
      <c r="N99" s="12" t="s">
        <v>76</v>
      </c>
      <c r="O99" s="12" t="s">
        <v>1253</v>
      </c>
      <c r="P99" s="12"/>
      <c r="Q99" s="12"/>
      <c r="R99" s="12"/>
      <c r="S99" s="12"/>
      <c r="T99" s="12"/>
    </row>
    <row r="100" ht="15.75" customHeight="1">
      <c r="A100" s="8" t="s">
        <v>702</v>
      </c>
      <c r="B100" s="8" t="s">
        <v>39</v>
      </c>
      <c r="C100" s="8" t="s">
        <v>307</v>
      </c>
      <c r="D100" s="11" t="s">
        <v>1254</v>
      </c>
      <c r="E100" s="8" t="s">
        <v>707</v>
      </c>
      <c r="F100" s="8" t="s">
        <v>709</v>
      </c>
      <c r="G100" s="8" t="s">
        <v>47</v>
      </c>
      <c r="H100" s="8" t="s">
        <v>48</v>
      </c>
      <c r="I100" s="8" t="s">
        <v>702</v>
      </c>
      <c r="J100" s="8" t="s">
        <v>49</v>
      </c>
      <c r="K100" s="8" t="s">
        <v>31</v>
      </c>
      <c r="L100" s="8" t="s">
        <v>48</v>
      </c>
      <c r="M100" s="12" t="s">
        <v>711</v>
      </c>
      <c r="N100" s="12" t="s">
        <v>391</v>
      </c>
      <c r="O100" s="12" t="s">
        <v>58</v>
      </c>
      <c r="P100" s="12"/>
      <c r="Q100" s="12"/>
      <c r="R100" s="12"/>
      <c r="S100" s="12"/>
      <c r="T100" s="12"/>
    </row>
    <row r="101" ht="15.75" customHeight="1">
      <c r="A101" s="8" t="s">
        <v>1259</v>
      </c>
      <c r="B101" s="8" t="s">
        <v>39</v>
      </c>
      <c r="C101" s="8" t="s">
        <v>40</v>
      </c>
      <c r="D101" s="11" t="s">
        <v>1260</v>
      </c>
      <c r="E101" s="8" t="s">
        <v>1261</v>
      </c>
      <c r="F101" s="8" t="s">
        <v>1262</v>
      </c>
      <c r="G101" s="8" t="s">
        <v>272</v>
      </c>
      <c r="H101" s="8" t="s">
        <v>48</v>
      </c>
      <c r="I101" s="8" t="s">
        <v>1259</v>
      </c>
      <c r="J101" s="8" t="s">
        <v>49</v>
      </c>
      <c r="K101" s="8" t="s">
        <v>31</v>
      </c>
      <c r="L101" s="8" t="s">
        <v>48</v>
      </c>
      <c r="M101" s="12" t="s">
        <v>1263</v>
      </c>
      <c r="N101" s="12" t="s">
        <v>391</v>
      </c>
      <c r="O101" s="12" t="s">
        <v>109</v>
      </c>
      <c r="P101" s="12"/>
      <c r="Q101" s="12"/>
      <c r="R101" s="12"/>
      <c r="S101" s="12"/>
      <c r="T101" s="12"/>
    </row>
    <row r="102" ht="15.75" customHeight="1">
      <c r="A102" s="8" t="s">
        <v>1264</v>
      </c>
      <c r="B102" s="8" t="s">
        <v>39</v>
      </c>
      <c r="C102" s="8" t="s">
        <v>40</v>
      </c>
      <c r="D102" s="11" t="s">
        <v>1265</v>
      </c>
      <c r="E102" s="8" t="s">
        <v>1266</v>
      </c>
      <c r="F102" s="8" t="s">
        <v>1267</v>
      </c>
      <c r="G102" s="8" t="s">
        <v>47</v>
      </c>
      <c r="H102" s="8" t="s">
        <v>48</v>
      </c>
      <c r="I102" s="8" t="s">
        <v>1264</v>
      </c>
      <c r="J102" s="8" t="s">
        <v>49</v>
      </c>
      <c r="K102" s="8" t="s">
        <v>31</v>
      </c>
      <c r="L102" s="8" t="s">
        <v>48</v>
      </c>
      <c r="M102" s="12" t="s">
        <v>1268</v>
      </c>
      <c r="N102" s="12" t="s">
        <v>56</v>
      </c>
      <c r="O102" s="12" t="s">
        <v>58</v>
      </c>
      <c r="P102" s="12"/>
      <c r="Q102" s="12"/>
      <c r="R102" s="12"/>
      <c r="S102" s="12"/>
      <c r="T102" s="12"/>
    </row>
    <row r="103" ht="15.75" customHeight="1">
      <c r="A103" s="8" t="s">
        <v>1269</v>
      </c>
      <c r="B103" s="8" t="s">
        <v>39</v>
      </c>
      <c r="C103" s="8" t="s">
        <v>40</v>
      </c>
      <c r="D103" s="11" t="s">
        <v>1270</v>
      </c>
      <c r="E103" s="8" t="s">
        <v>1271</v>
      </c>
      <c r="F103" s="8" t="s">
        <v>1272</v>
      </c>
      <c r="G103" s="8" t="s">
        <v>1273</v>
      </c>
      <c r="H103" s="8" t="s">
        <v>48</v>
      </c>
      <c r="I103" s="8" t="s">
        <v>1269</v>
      </c>
      <c r="J103" s="8" t="s">
        <v>49</v>
      </c>
      <c r="K103" s="8" t="s">
        <v>31</v>
      </c>
      <c r="L103" s="8" t="s">
        <v>55</v>
      </c>
      <c r="M103" s="12" t="s">
        <v>107</v>
      </c>
      <c r="N103" s="12" t="s">
        <v>76</v>
      </c>
      <c r="O103" s="12" t="s">
        <v>106</v>
      </c>
      <c r="P103" s="12"/>
      <c r="Q103" s="12"/>
      <c r="R103" s="12"/>
      <c r="S103" s="12"/>
      <c r="T103" s="12"/>
    </row>
    <row r="104" ht="15.75" customHeight="1">
      <c r="A104" s="8" t="s">
        <v>1274</v>
      </c>
      <c r="B104" s="8" t="s">
        <v>39</v>
      </c>
      <c r="C104" s="8" t="s">
        <v>40</v>
      </c>
      <c r="D104" s="11" t="s">
        <v>1275</v>
      </c>
      <c r="E104" s="8" t="s">
        <v>1276</v>
      </c>
      <c r="F104" s="8" t="s">
        <v>1277</v>
      </c>
      <c r="G104" s="8" t="s">
        <v>220</v>
      </c>
      <c r="H104" s="8" t="s">
        <v>48</v>
      </c>
      <c r="I104" s="8" t="s">
        <v>1274</v>
      </c>
      <c r="J104" s="8" t="s">
        <v>49</v>
      </c>
      <c r="K104" s="8" t="s">
        <v>31</v>
      </c>
      <c r="L104" s="8" t="s">
        <v>48</v>
      </c>
      <c r="M104" s="12" t="s">
        <v>1278</v>
      </c>
      <c r="N104" s="12" t="s">
        <v>76</v>
      </c>
      <c r="O104" s="12" t="s">
        <v>1279</v>
      </c>
      <c r="P104" s="12"/>
      <c r="Q104" s="12"/>
      <c r="R104" s="12"/>
      <c r="S104" s="12"/>
      <c r="T104" s="12"/>
    </row>
    <row r="105" ht="15.75" customHeight="1">
      <c r="A105" s="8" t="s">
        <v>1280</v>
      </c>
      <c r="B105" s="8" t="s">
        <v>39</v>
      </c>
      <c r="C105" s="8" t="s">
        <v>40</v>
      </c>
      <c r="D105" s="11" t="s">
        <v>1281</v>
      </c>
      <c r="E105" s="8" t="s">
        <v>1282</v>
      </c>
      <c r="F105" s="8" t="s">
        <v>1283</v>
      </c>
      <c r="G105" s="8" t="s">
        <v>54</v>
      </c>
      <c r="H105" s="8" t="s">
        <v>48</v>
      </c>
      <c r="I105" s="8" t="s">
        <v>1280</v>
      </c>
      <c r="J105" s="8" t="s">
        <v>49</v>
      </c>
      <c r="K105" s="8" t="s">
        <v>31</v>
      </c>
      <c r="L105" s="8" t="s">
        <v>48</v>
      </c>
      <c r="M105" s="12" t="s">
        <v>222</v>
      </c>
      <c r="N105" s="12" t="s">
        <v>56</v>
      </c>
      <c r="O105" s="12" t="s">
        <v>1284</v>
      </c>
      <c r="P105" s="12"/>
      <c r="Q105" s="12"/>
      <c r="R105" s="12"/>
      <c r="S105" s="12"/>
      <c r="T105" s="12"/>
    </row>
    <row r="106" ht="15.75" customHeight="1">
      <c r="A106" s="8" t="s">
        <v>1285</v>
      </c>
      <c r="B106" s="8" t="s">
        <v>39</v>
      </c>
      <c r="C106" s="8" t="s">
        <v>40</v>
      </c>
      <c r="D106" s="11" t="s">
        <v>1286</v>
      </c>
      <c r="E106" s="8" t="s">
        <v>1287</v>
      </c>
      <c r="F106" s="8" t="s">
        <v>1288</v>
      </c>
      <c r="G106" s="8" t="s">
        <v>47</v>
      </c>
      <c r="H106" s="8" t="s">
        <v>48</v>
      </c>
      <c r="I106" s="8" t="s">
        <v>1285</v>
      </c>
      <c r="J106" s="8" t="s">
        <v>49</v>
      </c>
      <c r="K106" s="8" t="s">
        <v>31</v>
      </c>
      <c r="L106" s="8" t="s">
        <v>48</v>
      </c>
      <c r="M106" s="12" t="s">
        <v>1289</v>
      </c>
      <c r="N106" s="12" t="s">
        <v>56</v>
      </c>
      <c r="O106" s="12" t="s">
        <v>360</v>
      </c>
      <c r="P106" s="12"/>
      <c r="Q106" s="12"/>
      <c r="R106" s="12"/>
      <c r="S106" s="12"/>
      <c r="T106" s="12"/>
    </row>
    <row r="107" ht="15.75" customHeight="1">
      <c r="A107" s="8" t="s">
        <v>1290</v>
      </c>
      <c r="B107" s="8" t="s">
        <v>39</v>
      </c>
      <c r="C107" s="8" t="s">
        <v>394</v>
      </c>
      <c r="D107" s="11" t="s">
        <v>1291</v>
      </c>
      <c r="E107" s="8" t="s">
        <v>1292</v>
      </c>
      <c r="F107" s="8" t="s">
        <v>1293</v>
      </c>
      <c r="G107" s="8" t="s">
        <v>47</v>
      </c>
      <c r="H107" s="8" t="s">
        <v>48</v>
      </c>
      <c r="I107" s="8" t="s">
        <v>1290</v>
      </c>
      <c r="J107" s="8" t="s">
        <v>49</v>
      </c>
      <c r="K107" s="8" t="s">
        <v>31</v>
      </c>
      <c r="L107" s="8" t="s">
        <v>48</v>
      </c>
      <c r="M107" s="12" t="s">
        <v>1294</v>
      </c>
      <c r="N107" s="12" t="s">
        <v>1295</v>
      </c>
      <c r="O107" s="12" t="s">
        <v>1296</v>
      </c>
      <c r="P107" s="12"/>
      <c r="Q107" s="12"/>
      <c r="R107" s="12"/>
      <c r="S107" s="12"/>
      <c r="T107" s="12"/>
    </row>
    <row r="108" ht="15.75" customHeight="1">
      <c r="A108" s="8" t="s">
        <v>1297</v>
      </c>
      <c r="B108" s="8" t="s">
        <v>39</v>
      </c>
      <c r="C108" s="8" t="s">
        <v>40</v>
      </c>
      <c r="D108" s="11" t="s">
        <v>1298</v>
      </c>
      <c r="E108" s="8" t="s">
        <v>1299</v>
      </c>
      <c r="F108" s="8" t="s">
        <v>1300</v>
      </c>
      <c r="G108" s="8" t="s">
        <v>47</v>
      </c>
      <c r="H108" s="8" t="s">
        <v>48</v>
      </c>
      <c r="I108" s="8" t="s">
        <v>1297</v>
      </c>
      <c r="J108" s="8" t="s">
        <v>49</v>
      </c>
      <c r="K108" s="8" t="s">
        <v>31</v>
      </c>
      <c r="L108" s="8" t="s">
        <v>48</v>
      </c>
      <c r="M108" s="12" t="s">
        <v>1301</v>
      </c>
      <c r="N108" s="12" t="s">
        <v>76</v>
      </c>
      <c r="O108" s="12" t="s">
        <v>151</v>
      </c>
      <c r="P108" s="12"/>
      <c r="Q108" s="12"/>
      <c r="R108" s="12"/>
      <c r="S108" s="12"/>
      <c r="T108" s="12"/>
    </row>
    <row r="109" ht="15.75" customHeight="1">
      <c r="A109" s="8" t="s">
        <v>1302</v>
      </c>
      <c r="B109" s="8" t="s">
        <v>39</v>
      </c>
      <c r="C109" s="8" t="s">
        <v>40</v>
      </c>
      <c r="D109" s="11" t="s">
        <v>1303</v>
      </c>
      <c r="E109" s="8" t="s">
        <v>1304</v>
      </c>
      <c r="F109" s="8" t="s">
        <v>1305</v>
      </c>
      <c r="G109" s="8" t="s">
        <v>47</v>
      </c>
      <c r="H109" s="8" t="s">
        <v>48</v>
      </c>
      <c r="I109" s="8" t="s">
        <v>1302</v>
      </c>
      <c r="J109" s="8" t="s">
        <v>49</v>
      </c>
      <c r="K109" s="8" t="s">
        <v>31</v>
      </c>
      <c r="L109" s="8" t="s">
        <v>48</v>
      </c>
      <c r="M109" s="12" t="s">
        <v>1306</v>
      </c>
      <c r="N109" s="12" t="s">
        <v>56</v>
      </c>
      <c r="O109" s="12" t="s">
        <v>1307</v>
      </c>
      <c r="P109" s="12"/>
      <c r="Q109" s="12"/>
      <c r="R109" s="12"/>
      <c r="S109" s="12"/>
      <c r="T109" s="12"/>
    </row>
    <row r="110" ht="15.75" customHeight="1">
      <c r="A110" s="8" t="s">
        <v>1308</v>
      </c>
      <c r="B110" s="8" t="s">
        <v>39</v>
      </c>
      <c r="C110" s="8" t="s">
        <v>40</v>
      </c>
      <c r="D110" s="11" t="s">
        <v>1309</v>
      </c>
      <c r="E110" s="8" t="s">
        <v>1310</v>
      </c>
      <c r="F110" s="8" t="s">
        <v>1311</v>
      </c>
      <c r="G110" s="8" t="s">
        <v>47</v>
      </c>
      <c r="H110" s="8" t="s">
        <v>48</v>
      </c>
      <c r="I110" s="8" t="s">
        <v>1308</v>
      </c>
      <c r="J110" s="8" t="s">
        <v>49</v>
      </c>
      <c r="K110" s="8" t="s">
        <v>31</v>
      </c>
      <c r="L110" s="8" t="s">
        <v>48</v>
      </c>
      <c r="M110" s="12" t="s">
        <v>127</v>
      </c>
      <c r="N110" s="12" t="s">
        <v>56</v>
      </c>
      <c r="O110" s="12" t="s">
        <v>1312</v>
      </c>
      <c r="P110" s="12"/>
      <c r="Q110" s="12"/>
      <c r="R110" s="12"/>
      <c r="S110" s="12"/>
      <c r="T110" s="12"/>
    </row>
    <row r="111" ht="15.75" customHeight="1">
      <c r="A111" s="8" t="s">
        <v>1313</v>
      </c>
      <c r="B111" s="8" t="s">
        <v>39</v>
      </c>
      <c r="C111" s="8" t="s">
        <v>40</v>
      </c>
      <c r="D111" s="11" t="s">
        <v>1314</v>
      </c>
      <c r="E111" s="8" t="s">
        <v>1315</v>
      </c>
      <c r="F111" s="8" t="s">
        <v>1316</v>
      </c>
      <c r="G111" s="8" t="s">
        <v>47</v>
      </c>
      <c r="H111" s="8" t="s">
        <v>48</v>
      </c>
      <c r="I111" s="8" t="s">
        <v>1313</v>
      </c>
      <c r="J111" s="8" t="s">
        <v>49</v>
      </c>
      <c r="K111" s="8" t="s">
        <v>31</v>
      </c>
      <c r="L111" s="8" t="s">
        <v>48</v>
      </c>
      <c r="M111" s="12" t="s">
        <v>1317</v>
      </c>
      <c r="N111" s="12" t="s">
        <v>56</v>
      </c>
      <c r="O111" s="12" t="s">
        <v>591</v>
      </c>
      <c r="P111" s="12"/>
      <c r="Q111" s="12"/>
      <c r="R111" s="12"/>
      <c r="S111" s="12"/>
      <c r="T111" s="12"/>
    </row>
    <row r="112" ht="15.75" customHeight="1">
      <c r="A112" s="8" t="s">
        <v>1318</v>
      </c>
      <c r="B112" s="8" t="s">
        <v>39</v>
      </c>
      <c r="C112" s="8" t="s">
        <v>40</v>
      </c>
      <c r="D112" s="11" t="s">
        <v>1319</v>
      </c>
      <c r="E112" s="8" t="s">
        <v>1320</v>
      </c>
      <c r="F112" s="8" t="s">
        <v>1321</v>
      </c>
      <c r="G112" s="8" t="s">
        <v>489</v>
      </c>
      <c r="H112" s="8" t="s">
        <v>48</v>
      </c>
      <c r="I112" s="8" t="s">
        <v>1318</v>
      </c>
      <c r="J112" s="8" t="s">
        <v>49</v>
      </c>
      <c r="K112" s="8" t="s">
        <v>31</v>
      </c>
      <c r="L112" s="8" t="s">
        <v>48</v>
      </c>
      <c r="M112" s="12" t="s">
        <v>1317</v>
      </c>
      <c r="N112" s="12" t="s">
        <v>56</v>
      </c>
      <c r="O112" s="12" t="s">
        <v>591</v>
      </c>
      <c r="P112" s="12"/>
      <c r="Q112" s="12"/>
      <c r="R112" s="12"/>
      <c r="S112" s="12"/>
      <c r="T112" s="12"/>
    </row>
    <row r="113" ht="15.75" customHeight="1">
      <c r="A113" s="8" t="s">
        <v>1322</v>
      </c>
      <c r="B113" s="8" t="s">
        <v>39</v>
      </c>
      <c r="C113" s="8" t="s">
        <v>40</v>
      </c>
      <c r="D113" s="11" t="s">
        <v>1323</v>
      </c>
      <c r="E113" s="8" t="s">
        <v>1324</v>
      </c>
      <c r="F113" s="8" t="s">
        <v>1325</v>
      </c>
      <c r="G113" s="8" t="s">
        <v>47</v>
      </c>
      <c r="H113" s="8" t="s">
        <v>48</v>
      </c>
      <c r="I113" s="8" t="s">
        <v>1322</v>
      </c>
      <c r="J113" s="8" t="s">
        <v>49</v>
      </c>
      <c r="K113" s="8" t="s">
        <v>31</v>
      </c>
      <c r="L113" s="8" t="s">
        <v>48</v>
      </c>
      <c r="M113" s="12" t="s">
        <v>85</v>
      </c>
      <c r="N113" s="12" t="s">
        <v>56</v>
      </c>
      <c r="O113" s="12" t="s">
        <v>430</v>
      </c>
      <c r="P113" s="12"/>
      <c r="Q113" s="12"/>
      <c r="R113" s="12"/>
      <c r="S113" s="12"/>
      <c r="T113" s="12"/>
    </row>
    <row r="114" ht="15.75" customHeight="1">
      <c r="A114" s="8" t="s">
        <v>1326</v>
      </c>
      <c r="B114" s="8" t="s">
        <v>39</v>
      </c>
      <c r="C114" s="8" t="s">
        <v>40</v>
      </c>
      <c r="D114" s="11" t="s">
        <v>1327</v>
      </c>
      <c r="E114" s="8" t="s">
        <v>1328</v>
      </c>
      <c r="F114" s="8" t="s">
        <v>1329</v>
      </c>
      <c r="G114" s="8" t="s">
        <v>54</v>
      </c>
      <c r="H114" s="8" t="s">
        <v>48</v>
      </c>
      <c r="I114" s="8" t="s">
        <v>1326</v>
      </c>
      <c r="J114" s="8" t="s">
        <v>49</v>
      </c>
      <c r="K114" s="8" t="s">
        <v>31</v>
      </c>
      <c r="L114" s="8" t="s">
        <v>48</v>
      </c>
      <c r="M114" s="12" t="s">
        <v>1317</v>
      </c>
      <c r="N114" s="12" t="s">
        <v>56</v>
      </c>
      <c r="O114" s="12" t="s">
        <v>441</v>
      </c>
      <c r="P114" s="12"/>
      <c r="Q114" s="12"/>
      <c r="R114" s="12"/>
      <c r="S114" s="12"/>
      <c r="T114" s="12"/>
    </row>
    <row r="115" ht="15.75" customHeight="1">
      <c r="A115" s="8" t="s">
        <v>1330</v>
      </c>
      <c r="B115" s="8" t="s">
        <v>39</v>
      </c>
      <c r="C115" s="8" t="s">
        <v>40</v>
      </c>
      <c r="D115" s="11" t="s">
        <v>1331</v>
      </c>
      <c r="E115" s="8" t="s">
        <v>1332</v>
      </c>
      <c r="F115" s="8" t="s">
        <v>1333</v>
      </c>
      <c r="G115" s="8" t="s">
        <v>47</v>
      </c>
      <c r="H115" s="8" t="s">
        <v>48</v>
      </c>
      <c r="I115" s="8" t="s">
        <v>1330</v>
      </c>
      <c r="J115" s="8" t="s">
        <v>49</v>
      </c>
      <c r="K115" s="8" t="s">
        <v>31</v>
      </c>
      <c r="L115" s="8" t="s">
        <v>48</v>
      </c>
      <c r="M115" s="12" t="s">
        <v>1334</v>
      </c>
      <c r="N115" s="12" t="s">
        <v>76</v>
      </c>
      <c r="O115" s="12" t="s">
        <v>430</v>
      </c>
      <c r="P115" s="12"/>
      <c r="Q115" s="12"/>
      <c r="R115" s="12"/>
      <c r="S115" s="12"/>
      <c r="T115" s="12"/>
    </row>
    <row r="116" ht="15.75" customHeight="1">
      <c r="A116" s="8" t="s">
        <v>1335</v>
      </c>
      <c r="B116" s="8" t="s">
        <v>39</v>
      </c>
      <c r="C116" s="8" t="s">
        <v>40</v>
      </c>
      <c r="D116" s="11" t="s">
        <v>1336</v>
      </c>
      <c r="E116" s="8" t="s">
        <v>1337</v>
      </c>
      <c r="F116" s="8" t="s">
        <v>1338</v>
      </c>
      <c r="G116" s="8" t="s">
        <v>272</v>
      </c>
      <c r="H116" s="8" t="s">
        <v>48</v>
      </c>
      <c r="I116" s="8" t="s">
        <v>1335</v>
      </c>
      <c r="J116" s="8" t="s">
        <v>49</v>
      </c>
      <c r="K116" s="8" t="s">
        <v>31</v>
      </c>
      <c r="L116" s="8" t="s">
        <v>48</v>
      </c>
      <c r="M116" s="12" t="s">
        <v>127</v>
      </c>
      <c r="N116" s="12" t="s">
        <v>56</v>
      </c>
      <c r="O116" s="12" t="s">
        <v>1307</v>
      </c>
      <c r="P116" s="12"/>
      <c r="Q116" s="12"/>
      <c r="R116" s="12"/>
      <c r="S116" s="12"/>
      <c r="T116" s="12"/>
    </row>
    <row r="117" ht="15.75" customHeight="1">
      <c r="A117" s="8" t="s">
        <v>1339</v>
      </c>
      <c r="B117" s="8" t="s">
        <v>39</v>
      </c>
      <c r="C117" s="8" t="s">
        <v>40</v>
      </c>
      <c r="D117" s="11" t="s">
        <v>1340</v>
      </c>
      <c r="E117" s="8" t="s">
        <v>1341</v>
      </c>
      <c r="F117" s="8" t="s">
        <v>1342</v>
      </c>
      <c r="G117" s="8" t="s">
        <v>47</v>
      </c>
      <c r="H117" s="8" t="s">
        <v>48</v>
      </c>
      <c r="I117" s="8" t="s">
        <v>1339</v>
      </c>
      <c r="J117" s="8" t="s">
        <v>49</v>
      </c>
      <c r="K117" s="8" t="s">
        <v>31</v>
      </c>
      <c r="L117" s="8" t="s">
        <v>48</v>
      </c>
      <c r="M117" s="12" t="s">
        <v>1317</v>
      </c>
      <c r="N117" s="12" t="s">
        <v>56</v>
      </c>
      <c r="O117" s="12" t="s">
        <v>430</v>
      </c>
      <c r="P117" s="12"/>
      <c r="Q117" s="12"/>
      <c r="R117" s="12"/>
      <c r="S117" s="12"/>
      <c r="T117" s="12"/>
    </row>
    <row r="118" ht="15.75" customHeight="1">
      <c r="A118" s="8" t="s">
        <v>1343</v>
      </c>
      <c r="B118" s="8" t="s">
        <v>39</v>
      </c>
      <c r="C118" s="8" t="s">
        <v>40</v>
      </c>
      <c r="D118" s="11" t="s">
        <v>1344</v>
      </c>
      <c r="E118" s="8" t="s">
        <v>1345</v>
      </c>
      <c r="F118" s="8" t="s">
        <v>1346</v>
      </c>
      <c r="G118" s="8" t="s">
        <v>47</v>
      </c>
      <c r="H118" s="8" t="s">
        <v>48</v>
      </c>
      <c r="I118" s="8" t="s">
        <v>1343</v>
      </c>
      <c r="J118" s="8" t="s">
        <v>49</v>
      </c>
      <c r="K118" s="8" t="s">
        <v>31</v>
      </c>
      <c r="L118" s="8" t="s">
        <v>48</v>
      </c>
      <c r="M118" s="12" t="s">
        <v>85</v>
      </c>
      <c r="N118" s="12" t="s">
        <v>56</v>
      </c>
      <c r="O118" s="12" t="s">
        <v>109</v>
      </c>
      <c r="P118" s="12"/>
      <c r="Q118" s="12"/>
      <c r="R118" s="12"/>
      <c r="S118" s="12"/>
      <c r="T118" s="12"/>
    </row>
    <row r="119" ht="15.75" customHeight="1">
      <c r="A119" s="8" t="s">
        <v>1347</v>
      </c>
      <c r="B119" s="8" t="s">
        <v>39</v>
      </c>
      <c r="C119" s="8" t="s">
        <v>40</v>
      </c>
      <c r="D119" s="11" t="s">
        <v>1348</v>
      </c>
      <c r="E119" s="8" t="s">
        <v>1349</v>
      </c>
      <c r="F119" s="8" t="s">
        <v>1350</v>
      </c>
      <c r="G119" s="8" t="s">
        <v>47</v>
      </c>
      <c r="H119" s="8" t="s">
        <v>48</v>
      </c>
      <c r="I119" s="8" t="s">
        <v>1347</v>
      </c>
      <c r="J119" s="8" t="s">
        <v>49</v>
      </c>
      <c r="K119" s="8" t="s">
        <v>31</v>
      </c>
      <c r="L119" s="8" t="s">
        <v>48</v>
      </c>
      <c r="M119" s="12" t="s">
        <v>1351</v>
      </c>
      <c r="N119" s="12" t="s">
        <v>98</v>
      </c>
      <c r="O119" s="12" t="s">
        <v>1352</v>
      </c>
      <c r="P119" s="12"/>
      <c r="Q119" s="12"/>
      <c r="R119" s="12"/>
      <c r="S119" s="12"/>
      <c r="T119" s="12"/>
    </row>
    <row r="120" ht="15.75" customHeight="1">
      <c r="A120" s="8" t="s">
        <v>1353</v>
      </c>
      <c r="B120" s="8" t="s">
        <v>39</v>
      </c>
      <c r="C120" s="8" t="s">
        <v>40</v>
      </c>
      <c r="D120" s="11" t="s">
        <v>1354</v>
      </c>
      <c r="E120" s="8" t="s">
        <v>1355</v>
      </c>
      <c r="F120" s="8" t="s">
        <v>1356</v>
      </c>
      <c r="G120" s="8" t="s">
        <v>54</v>
      </c>
      <c r="H120" s="8" t="s">
        <v>48</v>
      </c>
      <c r="I120" s="8" t="s">
        <v>1353</v>
      </c>
      <c r="J120" s="8" t="s">
        <v>49</v>
      </c>
      <c r="K120" s="8" t="s">
        <v>31</v>
      </c>
      <c r="L120" s="8" t="s">
        <v>48</v>
      </c>
      <c r="M120" s="12" t="s">
        <v>1357</v>
      </c>
      <c r="N120" s="12" t="s">
        <v>56</v>
      </c>
      <c r="O120" s="12" t="s">
        <v>118</v>
      </c>
      <c r="P120" s="12"/>
      <c r="Q120" s="12"/>
      <c r="R120" s="12"/>
      <c r="S120" s="12"/>
      <c r="T120" s="12"/>
    </row>
    <row r="121" ht="15.75" customHeight="1">
      <c r="A121" s="8" t="s">
        <v>1358</v>
      </c>
      <c r="B121" s="8" t="s">
        <v>39</v>
      </c>
      <c r="C121" s="8" t="s">
        <v>40</v>
      </c>
      <c r="D121" s="11" t="s">
        <v>1359</v>
      </c>
      <c r="E121" s="8" t="s">
        <v>1360</v>
      </c>
      <c r="F121" s="8" t="s">
        <v>1361</v>
      </c>
      <c r="G121" s="8" t="s">
        <v>47</v>
      </c>
      <c r="H121" s="8" t="s">
        <v>48</v>
      </c>
      <c r="I121" s="8" t="s">
        <v>1362</v>
      </c>
      <c r="J121" s="8" t="s">
        <v>49</v>
      </c>
      <c r="K121" s="8" t="s">
        <v>31</v>
      </c>
      <c r="L121" s="8" t="s">
        <v>48</v>
      </c>
      <c r="M121" s="12"/>
      <c r="N121" s="12"/>
      <c r="O121" s="12" t="s">
        <v>225</v>
      </c>
      <c r="P121" s="12"/>
      <c r="Q121" s="12"/>
      <c r="R121" s="12"/>
      <c r="S121" s="12"/>
      <c r="T121" s="12"/>
    </row>
    <row r="122" ht="15.75" customHeight="1">
      <c r="A122" s="8" t="s">
        <v>1363</v>
      </c>
      <c r="B122" s="8" t="s">
        <v>39</v>
      </c>
      <c r="C122" s="8" t="s">
        <v>40</v>
      </c>
      <c r="D122" s="11" t="s">
        <v>1364</v>
      </c>
      <c r="E122" s="8" t="s">
        <v>1365</v>
      </c>
      <c r="F122" s="8" t="s">
        <v>1366</v>
      </c>
      <c r="G122" s="8" t="s">
        <v>47</v>
      </c>
      <c r="H122" s="8" t="s">
        <v>48</v>
      </c>
      <c r="I122" s="8" t="s">
        <v>1363</v>
      </c>
      <c r="J122" s="8" t="s">
        <v>49</v>
      </c>
      <c r="K122" s="8" t="s">
        <v>31</v>
      </c>
      <c r="L122" s="8" t="s">
        <v>48</v>
      </c>
      <c r="M122" s="12" t="s">
        <v>1367</v>
      </c>
      <c r="N122" s="12" t="s">
        <v>76</v>
      </c>
      <c r="O122" s="12" t="s">
        <v>267</v>
      </c>
      <c r="P122" s="12" t="s">
        <v>1368</v>
      </c>
      <c r="Q122" s="12"/>
      <c r="R122" s="12"/>
      <c r="S122" s="12"/>
      <c r="T122" s="12"/>
    </row>
    <row r="123" ht="15.75" customHeight="1">
      <c r="A123" s="8" t="s">
        <v>1369</v>
      </c>
      <c r="B123" s="8" t="s">
        <v>39</v>
      </c>
      <c r="C123" s="8" t="s">
        <v>40</v>
      </c>
      <c r="D123" s="11" t="s">
        <v>1370</v>
      </c>
      <c r="E123" s="8" t="s">
        <v>1371</v>
      </c>
      <c r="F123" s="8" t="s">
        <v>1372</v>
      </c>
      <c r="G123" s="8" t="s">
        <v>47</v>
      </c>
      <c r="H123" s="8" t="s">
        <v>48</v>
      </c>
      <c r="I123" s="8" t="s">
        <v>1369</v>
      </c>
      <c r="J123" s="8" t="s">
        <v>49</v>
      </c>
      <c r="K123" s="8" t="s">
        <v>31</v>
      </c>
      <c r="L123" s="8" t="s">
        <v>48</v>
      </c>
      <c r="M123" s="12" t="s">
        <v>107</v>
      </c>
      <c r="N123" s="12" t="s">
        <v>76</v>
      </c>
      <c r="O123" s="12" t="s">
        <v>1373</v>
      </c>
      <c r="P123" s="12"/>
      <c r="Q123" s="12"/>
      <c r="R123" s="12"/>
      <c r="S123" s="12"/>
      <c r="T123" s="12"/>
    </row>
    <row r="124" ht="15.75" customHeight="1">
      <c r="A124" s="8" t="s">
        <v>1374</v>
      </c>
      <c r="B124" s="8" t="s">
        <v>39</v>
      </c>
      <c r="C124" s="8" t="s">
        <v>40</v>
      </c>
      <c r="D124" s="11" t="s">
        <v>1375</v>
      </c>
      <c r="E124" s="8" t="s">
        <v>1376</v>
      </c>
      <c r="F124" s="8" t="s">
        <v>1377</v>
      </c>
      <c r="G124" s="8" t="s">
        <v>272</v>
      </c>
      <c r="H124" s="8" t="s">
        <v>48</v>
      </c>
      <c r="I124" s="8" t="s">
        <v>1374</v>
      </c>
      <c r="J124" s="8" t="s">
        <v>49</v>
      </c>
      <c r="K124" s="8" t="s">
        <v>31</v>
      </c>
      <c r="L124" s="8" t="s">
        <v>48</v>
      </c>
      <c r="M124" s="12" t="s">
        <v>1378</v>
      </c>
      <c r="N124" s="12" t="s">
        <v>391</v>
      </c>
      <c r="O124" s="12" t="s">
        <v>77</v>
      </c>
      <c r="P124" s="12"/>
      <c r="Q124" s="12"/>
      <c r="R124" s="12"/>
      <c r="S124" s="12"/>
      <c r="T124" s="12"/>
    </row>
    <row r="125" ht="15.75" customHeight="1">
      <c r="A125" s="8" t="s">
        <v>1379</v>
      </c>
      <c r="B125" s="8" t="s">
        <v>39</v>
      </c>
      <c r="C125" s="8" t="s">
        <v>40</v>
      </c>
      <c r="D125" s="11" t="s">
        <v>1380</v>
      </c>
      <c r="E125" s="8" t="s">
        <v>1381</v>
      </c>
      <c r="F125" s="8" t="s">
        <v>1382</v>
      </c>
      <c r="G125" s="8" t="s">
        <v>1383</v>
      </c>
      <c r="H125" s="8" t="s">
        <v>48</v>
      </c>
      <c r="I125" s="8" t="s">
        <v>1379</v>
      </c>
      <c r="J125" s="8" t="s">
        <v>49</v>
      </c>
      <c r="K125" s="8" t="s">
        <v>31</v>
      </c>
      <c r="L125" s="8" t="s">
        <v>48</v>
      </c>
      <c r="M125" s="12" t="s">
        <v>127</v>
      </c>
      <c r="N125" s="12" t="s">
        <v>56</v>
      </c>
      <c r="O125" s="12" t="s">
        <v>151</v>
      </c>
      <c r="P125" s="12"/>
      <c r="Q125" s="12"/>
      <c r="R125" s="12"/>
      <c r="S125" s="12"/>
      <c r="T125" s="12"/>
    </row>
    <row r="126" ht="15.75" customHeight="1">
      <c r="A126" s="8" t="s">
        <v>1384</v>
      </c>
      <c r="B126" s="8" t="s">
        <v>39</v>
      </c>
      <c r="C126" s="8" t="s">
        <v>250</v>
      </c>
      <c r="D126" s="11" t="s">
        <v>1385</v>
      </c>
      <c r="E126" s="8" t="s">
        <v>1386</v>
      </c>
      <c r="F126" s="8" t="s">
        <v>1387</v>
      </c>
      <c r="G126" s="8" t="s">
        <v>47</v>
      </c>
      <c r="H126" s="8" t="s">
        <v>48</v>
      </c>
      <c r="I126" s="8" t="s">
        <v>1384</v>
      </c>
      <c r="J126" s="8" t="s">
        <v>49</v>
      </c>
      <c r="K126" s="8" t="s">
        <v>31</v>
      </c>
      <c r="L126" s="8" t="s">
        <v>48</v>
      </c>
      <c r="M126" s="12" t="s">
        <v>1388</v>
      </c>
      <c r="N126" s="12" t="s">
        <v>391</v>
      </c>
      <c r="O126" s="12" t="s">
        <v>1389</v>
      </c>
      <c r="P126" s="12"/>
      <c r="Q126" s="12"/>
      <c r="R126" s="12"/>
      <c r="S126" s="12"/>
      <c r="T126" s="12"/>
    </row>
    <row r="127" ht="15.75" customHeight="1">
      <c r="A127" s="8" t="s">
        <v>1390</v>
      </c>
      <c r="B127" s="8" t="s">
        <v>39</v>
      </c>
      <c r="C127" s="8" t="s">
        <v>40</v>
      </c>
      <c r="D127" s="11" t="s">
        <v>1391</v>
      </c>
      <c r="E127" s="8" t="s">
        <v>1392</v>
      </c>
      <c r="F127" s="8" t="s">
        <v>1393</v>
      </c>
      <c r="G127" s="8" t="s">
        <v>47</v>
      </c>
      <c r="H127" s="8" t="s">
        <v>48</v>
      </c>
      <c r="I127" s="8" t="s">
        <v>1390</v>
      </c>
      <c r="J127" s="8" t="s">
        <v>49</v>
      </c>
      <c r="K127" s="8" t="s">
        <v>31</v>
      </c>
      <c r="L127" s="8" t="s">
        <v>48</v>
      </c>
      <c r="M127" s="12" t="s">
        <v>148</v>
      </c>
      <c r="N127" s="12" t="s">
        <v>56</v>
      </c>
      <c r="O127" s="12" t="s">
        <v>77</v>
      </c>
      <c r="P127" s="12"/>
      <c r="Q127" s="12"/>
      <c r="R127" s="12"/>
      <c r="S127" s="12"/>
      <c r="T127" s="12"/>
    </row>
    <row r="128" ht="15.75" customHeight="1">
      <c r="A128" s="8" t="s">
        <v>1394</v>
      </c>
      <c r="B128" s="8" t="s">
        <v>39</v>
      </c>
      <c r="C128" s="8" t="s">
        <v>40</v>
      </c>
      <c r="D128" s="11" t="s">
        <v>1395</v>
      </c>
      <c r="E128" s="8" t="s">
        <v>1396</v>
      </c>
      <c r="F128" s="8" t="s">
        <v>1397</v>
      </c>
      <c r="G128" s="8" t="s">
        <v>47</v>
      </c>
      <c r="H128" s="8" t="s">
        <v>48</v>
      </c>
      <c r="I128" s="8" t="s">
        <v>1394</v>
      </c>
      <c r="J128" s="8" t="s">
        <v>49</v>
      </c>
      <c r="K128" s="8" t="s">
        <v>31</v>
      </c>
      <c r="L128" s="8" t="s">
        <v>48</v>
      </c>
      <c r="M128" s="12" t="s">
        <v>1398</v>
      </c>
      <c r="N128" s="12" t="s">
        <v>76</v>
      </c>
      <c r="O128" s="12" t="s">
        <v>77</v>
      </c>
      <c r="P128" s="12"/>
      <c r="Q128" s="12"/>
      <c r="R128" s="12"/>
      <c r="S128" s="12"/>
      <c r="T128" s="12"/>
    </row>
    <row r="129" ht="15.75" customHeight="1">
      <c r="A129" s="8" t="s">
        <v>1399</v>
      </c>
      <c r="B129" s="8" t="s">
        <v>39</v>
      </c>
      <c r="C129" s="8" t="s">
        <v>40</v>
      </c>
      <c r="D129" s="11" t="s">
        <v>1400</v>
      </c>
      <c r="E129" s="8" t="s">
        <v>1401</v>
      </c>
      <c r="F129" s="8" t="s">
        <v>1402</v>
      </c>
      <c r="G129" s="8" t="s">
        <v>47</v>
      </c>
      <c r="H129" s="8" t="s">
        <v>48</v>
      </c>
      <c r="I129" s="8" t="s">
        <v>1399</v>
      </c>
      <c r="J129" s="8" t="s">
        <v>49</v>
      </c>
      <c r="K129" s="8" t="s">
        <v>32</v>
      </c>
      <c r="L129" s="8" t="s">
        <v>48</v>
      </c>
      <c r="M129" s="12" t="s">
        <v>1403</v>
      </c>
      <c r="N129" s="12" t="s">
        <v>76</v>
      </c>
      <c r="O129" s="12" t="s">
        <v>1404</v>
      </c>
      <c r="P129" s="12" t="s">
        <v>1405</v>
      </c>
      <c r="Q129" s="12"/>
      <c r="R129" s="12"/>
      <c r="S129" s="12"/>
      <c r="T129" s="12"/>
    </row>
    <row r="130" ht="15.75" customHeight="1">
      <c r="A130" s="8" t="s">
        <v>1406</v>
      </c>
      <c r="B130" s="8" t="s">
        <v>39</v>
      </c>
      <c r="C130" s="8" t="s">
        <v>307</v>
      </c>
      <c r="D130" s="11" t="s">
        <v>1407</v>
      </c>
      <c r="E130" s="8" t="s">
        <v>1408</v>
      </c>
      <c r="F130" s="8" t="s">
        <v>1409</v>
      </c>
      <c r="G130" s="8" t="s">
        <v>54</v>
      </c>
      <c r="H130" s="8" t="s">
        <v>48</v>
      </c>
      <c r="I130" s="8" t="s">
        <v>1406</v>
      </c>
      <c r="J130" s="8" t="s">
        <v>49</v>
      </c>
      <c r="K130" s="8" t="s">
        <v>31</v>
      </c>
      <c r="L130" s="8" t="s">
        <v>48</v>
      </c>
      <c r="M130" s="12" t="s">
        <v>1410</v>
      </c>
      <c r="N130" s="12" t="s">
        <v>56</v>
      </c>
      <c r="O130" s="12" t="s">
        <v>888</v>
      </c>
      <c r="P130" s="12" t="s">
        <v>1411</v>
      </c>
      <c r="Q130" s="12"/>
      <c r="R130" s="12"/>
      <c r="S130" s="12"/>
      <c r="T130" s="12"/>
    </row>
    <row r="131" ht="15.75" customHeight="1">
      <c r="A131" s="8" t="s">
        <v>1412</v>
      </c>
      <c r="B131" s="8" t="s">
        <v>39</v>
      </c>
      <c r="C131" s="8" t="s">
        <v>40</v>
      </c>
      <c r="D131" s="11" t="s">
        <v>1413</v>
      </c>
      <c r="E131" s="8" t="s">
        <v>1414</v>
      </c>
      <c r="F131" s="8" t="s">
        <v>1415</v>
      </c>
      <c r="G131" s="8" t="s">
        <v>47</v>
      </c>
      <c r="H131" s="8" t="s">
        <v>48</v>
      </c>
      <c r="I131" s="8" t="s">
        <v>1412</v>
      </c>
      <c r="J131" s="8" t="s">
        <v>49</v>
      </c>
      <c r="K131" s="8" t="s">
        <v>32</v>
      </c>
      <c r="L131" s="8" t="s">
        <v>48</v>
      </c>
      <c r="M131" s="12" t="s">
        <v>691</v>
      </c>
      <c r="N131" s="12" t="s">
        <v>56</v>
      </c>
      <c r="O131" s="12" t="s">
        <v>1416</v>
      </c>
      <c r="P131" s="12"/>
      <c r="Q131" s="12"/>
      <c r="R131" s="12"/>
      <c r="S131" s="12"/>
      <c r="T131" s="12"/>
    </row>
    <row r="132" ht="15.75" customHeight="1">
      <c r="A132" s="8" t="s">
        <v>1417</v>
      </c>
      <c r="B132" s="8" t="s">
        <v>39</v>
      </c>
      <c r="C132" s="8" t="s">
        <v>394</v>
      </c>
      <c r="D132" s="11" t="s">
        <v>1418</v>
      </c>
      <c r="E132" s="8" t="s">
        <v>1419</v>
      </c>
      <c r="F132" s="8" t="s">
        <v>1420</v>
      </c>
      <c r="G132" s="8" t="s">
        <v>47</v>
      </c>
      <c r="H132" s="8" t="s">
        <v>48</v>
      </c>
      <c r="I132" s="8" t="s">
        <v>1417</v>
      </c>
      <c r="J132" s="8" t="s">
        <v>49</v>
      </c>
      <c r="K132" s="8" t="s">
        <v>31</v>
      </c>
      <c r="L132" s="8" t="s">
        <v>48</v>
      </c>
      <c r="M132" s="12" t="s">
        <v>53</v>
      </c>
      <c r="N132" s="12" t="s">
        <v>56</v>
      </c>
      <c r="O132" s="12" t="s">
        <v>1421</v>
      </c>
      <c r="P132" s="12"/>
      <c r="Q132" s="12"/>
      <c r="R132" s="12"/>
      <c r="S132" s="12"/>
      <c r="T132" s="12"/>
    </row>
    <row r="133" ht="15.75" customHeight="1">
      <c r="A133" s="8" t="s">
        <v>1422</v>
      </c>
      <c r="B133" s="8" t="s">
        <v>269</v>
      </c>
      <c r="C133" s="8" t="s">
        <v>40</v>
      </c>
      <c r="D133" s="11" t="s">
        <v>1423</v>
      </c>
      <c r="E133" s="8" t="s">
        <v>1424</v>
      </c>
      <c r="F133" s="8" t="s">
        <v>1425</v>
      </c>
      <c r="G133" s="8" t="s">
        <v>860</v>
      </c>
      <c r="H133" s="8" t="s">
        <v>48</v>
      </c>
      <c r="I133" s="8" t="s">
        <v>1422</v>
      </c>
      <c r="J133" s="8" t="s">
        <v>49</v>
      </c>
      <c r="K133" s="8" t="s">
        <v>31</v>
      </c>
      <c r="L133" s="8" t="s">
        <v>48</v>
      </c>
      <c r="M133" s="12" t="s">
        <v>53</v>
      </c>
      <c r="N133" s="12" t="s">
        <v>56</v>
      </c>
      <c r="O133" s="12" t="s">
        <v>1426</v>
      </c>
      <c r="P133" s="12"/>
      <c r="Q133" s="12"/>
      <c r="R133" s="12"/>
      <c r="S133" s="12"/>
      <c r="T133" s="12"/>
    </row>
    <row r="134" ht="15.75" customHeight="1">
      <c r="A134" s="8" t="s">
        <v>1427</v>
      </c>
      <c r="B134" s="8" t="s">
        <v>269</v>
      </c>
      <c r="C134" s="8" t="s">
        <v>1428</v>
      </c>
      <c r="D134" s="11" t="s">
        <v>1429</v>
      </c>
      <c r="E134" s="8" t="s">
        <v>1430</v>
      </c>
      <c r="F134" s="8" t="s">
        <v>1431</v>
      </c>
      <c r="G134" s="8" t="s">
        <v>848</v>
      </c>
      <c r="H134" s="8" t="s">
        <v>48</v>
      </c>
      <c r="I134" s="8" t="s">
        <v>1427</v>
      </c>
      <c r="J134" s="8" t="s">
        <v>49</v>
      </c>
      <c r="K134" s="8" t="s">
        <v>31</v>
      </c>
      <c r="L134" s="8" t="s">
        <v>55</v>
      </c>
      <c r="M134" s="12"/>
      <c r="N134" s="12"/>
      <c r="O134" s="12" t="s">
        <v>225</v>
      </c>
      <c r="P134" s="12"/>
      <c r="Q134" s="12"/>
      <c r="R134" s="12"/>
      <c r="S134" s="12"/>
      <c r="T134" s="12"/>
    </row>
    <row r="135" ht="15.75" customHeight="1">
      <c r="A135" s="8" t="s">
        <v>1432</v>
      </c>
      <c r="B135" s="8" t="s">
        <v>269</v>
      </c>
      <c r="C135" s="8" t="s">
        <v>40</v>
      </c>
      <c r="D135" s="11" t="s">
        <v>1433</v>
      </c>
      <c r="E135" s="8" t="s">
        <v>1434</v>
      </c>
      <c r="F135" s="8" t="s">
        <v>1435</v>
      </c>
      <c r="G135" s="8" t="s">
        <v>836</v>
      </c>
      <c r="H135" s="8" t="s">
        <v>48</v>
      </c>
      <c r="I135" s="8" t="s">
        <v>1432</v>
      </c>
      <c r="J135" s="8" t="s">
        <v>49</v>
      </c>
      <c r="K135" s="8" t="s">
        <v>31</v>
      </c>
      <c r="L135" s="8" t="s">
        <v>48</v>
      </c>
      <c r="M135" s="12" t="s">
        <v>85</v>
      </c>
      <c r="N135" s="12" t="s">
        <v>56</v>
      </c>
      <c r="O135" s="12" t="s">
        <v>151</v>
      </c>
      <c r="P135" s="12" t="s">
        <v>1436</v>
      </c>
      <c r="Q135" s="12"/>
      <c r="R135" s="12"/>
      <c r="S135" s="12"/>
      <c r="T135" s="12"/>
    </row>
    <row r="136" ht="15.75" customHeight="1">
      <c r="A136" s="8" t="s">
        <v>1437</v>
      </c>
      <c r="B136" s="8" t="s">
        <v>269</v>
      </c>
      <c r="C136" s="8" t="s">
        <v>40</v>
      </c>
      <c r="D136" s="11" t="s">
        <v>1438</v>
      </c>
      <c r="E136" s="8" t="s">
        <v>1439</v>
      </c>
      <c r="F136" s="8" t="s">
        <v>1440</v>
      </c>
      <c r="G136" s="8" t="s">
        <v>848</v>
      </c>
      <c r="H136" s="8" t="s">
        <v>48</v>
      </c>
      <c r="I136" s="8" t="s">
        <v>1437</v>
      </c>
      <c r="J136" s="8" t="s">
        <v>49</v>
      </c>
      <c r="K136" s="8" t="s">
        <v>31</v>
      </c>
      <c r="L136" s="8" t="s">
        <v>48</v>
      </c>
      <c r="M136" s="12" t="s">
        <v>1441</v>
      </c>
      <c r="N136" s="12" t="s">
        <v>56</v>
      </c>
      <c r="O136" s="12" t="s">
        <v>128</v>
      </c>
      <c r="P136" s="12"/>
      <c r="Q136" s="12"/>
      <c r="R136" s="12"/>
      <c r="S136" s="12"/>
      <c r="T136" s="12"/>
    </row>
    <row r="137" ht="15.75" customHeight="1">
      <c r="A137" s="8" t="s">
        <v>1442</v>
      </c>
      <c r="B137" s="8" t="s">
        <v>269</v>
      </c>
      <c r="C137" s="8" t="s">
        <v>40</v>
      </c>
      <c r="D137" s="11" t="s">
        <v>1443</v>
      </c>
      <c r="E137" s="8" t="s">
        <v>1444</v>
      </c>
      <c r="F137" s="8" t="s">
        <v>1445</v>
      </c>
      <c r="G137" s="8" t="s">
        <v>836</v>
      </c>
      <c r="H137" s="8" t="s">
        <v>48</v>
      </c>
      <c r="I137" s="8" t="s">
        <v>1442</v>
      </c>
      <c r="J137" s="8" t="s">
        <v>49</v>
      </c>
      <c r="K137" s="8" t="s">
        <v>32</v>
      </c>
      <c r="L137" s="8" t="s">
        <v>55</v>
      </c>
      <c r="M137" s="12"/>
      <c r="N137" s="12"/>
      <c r="O137" s="12" t="s">
        <v>1075</v>
      </c>
      <c r="P137" s="12"/>
      <c r="Q137" s="12"/>
      <c r="R137" s="12"/>
      <c r="S137" s="12"/>
      <c r="T137" s="12"/>
    </row>
    <row r="138" ht="15.75" customHeight="1">
      <c r="A138" s="8" t="s">
        <v>1446</v>
      </c>
      <c r="B138" s="8" t="s">
        <v>269</v>
      </c>
      <c r="C138" s="8" t="s">
        <v>40</v>
      </c>
      <c r="D138" s="11" t="s">
        <v>1447</v>
      </c>
      <c r="E138" s="8" t="s">
        <v>1448</v>
      </c>
      <c r="F138" s="8" t="s">
        <v>1449</v>
      </c>
      <c r="G138" s="8" t="s">
        <v>836</v>
      </c>
      <c r="H138" s="8" t="s">
        <v>48</v>
      </c>
      <c r="I138" s="8" t="s">
        <v>1446</v>
      </c>
      <c r="J138" s="8" t="s">
        <v>49</v>
      </c>
      <c r="K138" s="8" t="s">
        <v>31</v>
      </c>
      <c r="L138" s="8" t="s">
        <v>48</v>
      </c>
      <c r="M138" s="12" t="s">
        <v>1450</v>
      </c>
      <c r="N138" s="12" t="s">
        <v>56</v>
      </c>
      <c r="O138" s="12" t="s">
        <v>1279</v>
      </c>
      <c r="P138" s="12" t="s">
        <v>1451</v>
      </c>
      <c r="Q138" s="12"/>
      <c r="R138" s="12"/>
      <c r="S138" s="12"/>
      <c r="T138" s="12"/>
    </row>
    <row r="139" ht="15.75" customHeight="1">
      <c r="A139" s="8" t="s">
        <v>1452</v>
      </c>
      <c r="B139" s="8" t="s">
        <v>269</v>
      </c>
      <c r="C139" s="8" t="s">
        <v>250</v>
      </c>
      <c r="D139" s="11" t="s">
        <v>1453</v>
      </c>
      <c r="E139" s="8" t="s">
        <v>1454</v>
      </c>
      <c r="F139" s="8" t="s">
        <v>1455</v>
      </c>
      <c r="G139" s="8" t="s">
        <v>836</v>
      </c>
      <c r="H139" s="8" t="s">
        <v>48</v>
      </c>
      <c r="I139" s="8" t="s">
        <v>1452</v>
      </c>
      <c r="J139" s="8" t="s">
        <v>49</v>
      </c>
      <c r="K139" s="8" t="s">
        <v>31</v>
      </c>
      <c r="L139" s="8" t="s">
        <v>48</v>
      </c>
      <c r="M139" s="12" t="s">
        <v>1456</v>
      </c>
      <c r="N139" s="12" t="s">
        <v>391</v>
      </c>
      <c r="O139" s="12" t="s">
        <v>1457</v>
      </c>
      <c r="P139" s="12" t="s">
        <v>1458</v>
      </c>
      <c r="Q139" s="12"/>
      <c r="R139" s="12"/>
      <c r="S139" s="12"/>
      <c r="T139" s="12"/>
    </row>
    <row r="140" ht="15.75" customHeight="1">
      <c r="A140" s="8" t="s">
        <v>1459</v>
      </c>
      <c r="B140" s="8" t="s">
        <v>269</v>
      </c>
      <c r="C140" s="8" t="s">
        <v>250</v>
      </c>
      <c r="D140" s="11" t="s">
        <v>1460</v>
      </c>
      <c r="E140" s="8" t="s">
        <v>1461</v>
      </c>
      <c r="F140" s="8" t="s">
        <v>1462</v>
      </c>
      <c r="G140" s="8" t="s">
        <v>848</v>
      </c>
      <c r="H140" s="8" t="s">
        <v>48</v>
      </c>
      <c r="I140" s="8" t="s">
        <v>1459</v>
      </c>
      <c r="J140" s="8" t="s">
        <v>49</v>
      </c>
      <c r="K140" s="8" t="s">
        <v>32</v>
      </c>
      <c r="L140" s="8" t="s">
        <v>48</v>
      </c>
      <c r="M140" s="12" t="s">
        <v>1463</v>
      </c>
      <c r="N140" s="12" t="s">
        <v>391</v>
      </c>
      <c r="O140" s="12" t="s">
        <v>1464</v>
      </c>
      <c r="P140" s="12" t="s">
        <v>1465</v>
      </c>
      <c r="Q140" s="12"/>
      <c r="R140" s="12"/>
      <c r="S140" s="12"/>
      <c r="T140" s="12"/>
    </row>
    <row r="141" ht="15.75" customHeight="1">
      <c r="A141" s="8" t="s">
        <v>1466</v>
      </c>
      <c r="B141" s="8" t="s">
        <v>269</v>
      </c>
      <c r="C141" s="8" t="s">
        <v>40</v>
      </c>
      <c r="D141" s="11" t="s">
        <v>1467</v>
      </c>
      <c r="E141" s="8" t="s">
        <v>1468</v>
      </c>
      <c r="F141" s="8" t="s">
        <v>1469</v>
      </c>
      <c r="G141" s="8" t="s">
        <v>848</v>
      </c>
      <c r="H141" s="8" t="s">
        <v>55</v>
      </c>
      <c r="I141" s="8"/>
      <c r="J141" s="8" t="s">
        <v>57</v>
      </c>
      <c r="K141" s="8" t="s">
        <v>59</v>
      </c>
      <c r="L141" s="8" t="s">
        <v>55</v>
      </c>
      <c r="M141" s="12"/>
      <c r="N141" s="12"/>
      <c r="O141" s="12"/>
      <c r="P141" s="12"/>
      <c r="Q141" s="12"/>
      <c r="R141" s="12"/>
      <c r="S141" s="12"/>
      <c r="T141" s="12"/>
    </row>
    <row r="142" ht="15.75" customHeight="1">
      <c r="A142" s="8" t="s">
        <v>1470</v>
      </c>
      <c r="B142" s="8" t="s">
        <v>269</v>
      </c>
      <c r="C142" s="8" t="s">
        <v>250</v>
      </c>
      <c r="D142" s="11" t="s">
        <v>1471</v>
      </c>
      <c r="E142" s="8" t="s">
        <v>1472</v>
      </c>
      <c r="F142" s="8" t="s">
        <v>1473</v>
      </c>
      <c r="G142" s="8" t="s">
        <v>848</v>
      </c>
      <c r="H142" s="8" t="s">
        <v>48</v>
      </c>
      <c r="I142" s="8" t="s">
        <v>1470</v>
      </c>
      <c r="J142" s="8" t="s">
        <v>49</v>
      </c>
      <c r="K142" s="8" t="s">
        <v>32</v>
      </c>
      <c r="L142" s="8" t="s">
        <v>48</v>
      </c>
      <c r="M142" s="12" t="s">
        <v>1463</v>
      </c>
      <c r="N142" s="12" t="s">
        <v>391</v>
      </c>
      <c r="O142" s="12" t="s">
        <v>1464</v>
      </c>
      <c r="P142" s="12" t="s">
        <v>1474</v>
      </c>
      <c r="Q142" s="12"/>
      <c r="R142" s="12"/>
      <c r="S142" s="12"/>
      <c r="T142" s="12"/>
    </row>
    <row r="143" ht="15.75" customHeight="1">
      <c r="A143" s="8" t="s">
        <v>1475</v>
      </c>
      <c r="B143" s="8" t="s">
        <v>269</v>
      </c>
      <c r="C143" s="8" t="s">
        <v>250</v>
      </c>
      <c r="D143" s="11" t="s">
        <v>1476</v>
      </c>
      <c r="E143" s="8" t="s">
        <v>1477</v>
      </c>
      <c r="F143" s="8" t="s">
        <v>1478</v>
      </c>
      <c r="G143" s="8" t="s">
        <v>836</v>
      </c>
      <c r="H143" s="8" t="s">
        <v>48</v>
      </c>
      <c r="I143" s="8" t="s">
        <v>1475</v>
      </c>
      <c r="J143" s="8" t="s">
        <v>49</v>
      </c>
      <c r="K143" s="8" t="s">
        <v>32</v>
      </c>
      <c r="L143" s="8" t="s">
        <v>55</v>
      </c>
      <c r="M143" s="12"/>
      <c r="N143" s="12"/>
      <c r="O143" s="12" t="s">
        <v>276</v>
      </c>
      <c r="P143" s="12"/>
      <c r="Q143" s="12"/>
      <c r="R143" s="12"/>
      <c r="S143" s="12"/>
      <c r="T143" s="12"/>
    </row>
    <row r="144" ht="15.75" customHeight="1">
      <c r="A144" s="8" t="s">
        <v>1479</v>
      </c>
      <c r="B144" s="8" t="s">
        <v>269</v>
      </c>
      <c r="C144" s="8" t="s">
        <v>40</v>
      </c>
      <c r="D144" s="11" t="s">
        <v>1480</v>
      </c>
      <c r="E144" s="8" t="s">
        <v>1481</v>
      </c>
      <c r="F144" s="8" t="s">
        <v>1482</v>
      </c>
      <c r="G144" s="8" t="s">
        <v>848</v>
      </c>
      <c r="H144" s="8" t="s">
        <v>48</v>
      </c>
      <c r="I144" s="8" t="s">
        <v>1479</v>
      </c>
      <c r="J144" s="8" t="s">
        <v>49</v>
      </c>
      <c r="K144" s="8" t="s">
        <v>31</v>
      </c>
      <c r="L144" s="8" t="s">
        <v>48</v>
      </c>
      <c r="M144" s="12" t="s">
        <v>1483</v>
      </c>
      <c r="N144" s="12" t="s">
        <v>391</v>
      </c>
      <c r="O144" s="12" t="s">
        <v>151</v>
      </c>
      <c r="P144" s="12"/>
      <c r="Q144" s="12"/>
      <c r="R144" s="12"/>
      <c r="S144" s="12"/>
      <c r="T144" s="12"/>
    </row>
    <row r="145" ht="15.75" customHeight="1">
      <c r="A145" s="8" t="s">
        <v>1484</v>
      </c>
      <c r="B145" s="8" t="s">
        <v>269</v>
      </c>
      <c r="C145" s="8" t="s">
        <v>40</v>
      </c>
      <c r="D145" s="11" t="s">
        <v>1485</v>
      </c>
      <c r="E145" s="8" t="s">
        <v>1486</v>
      </c>
      <c r="F145" s="8" t="s">
        <v>1487</v>
      </c>
      <c r="G145" s="8" t="s">
        <v>928</v>
      </c>
      <c r="H145" s="8" t="s">
        <v>48</v>
      </c>
      <c r="I145" s="8" t="s">
        <v>1484</v>
      </c>
      <c r="J145" s="8" t="s">
        <v>49</v>
      </c>
      <c r="K145" s="8" t="s">
        <v>31</v>
      </c>
      <c r="L145" s="8" t="s">
        <v>48</v>
      </c>
      <c r="M145" s="12" t="s">
        <v>1488</v>
      </c>
      <c r="N145" s="12" t="s">
        <v>76</v>
      </c>
      <c r="O145" s="12" t="s">
        <v>207</v>
      </c>
      <c r="P145" s="12"/>
      <c r="Q145" s="12"/>
      <c r="R145" s="12"/>
      <c r="S145" s="12"/>
      <c r="T145" s="12"/>
    </row>
    <row r="146" ht="15.75" customHeight="1">
      <c r="A146" s="8" t="s">
        <v>1489</v>
      </c>
      <c r="B146" s="8" t="s">
        <v>269</v>
      </c>
      <c r="C146" s="8" t="s">
        <v>40</v>
      </c>
      <c r="D146" s="11" t="s">
        <v>1490</v>
      </c>
      <c r="E146" s="8" t="s">
        <v>1491</v>
      </c>
      <c r="F146" s="8" t="s">
        <v>1492</v>
      </c>
      <c r="G146" s="8" t="s">
        <v>928</v>
      </c>
      <c r="H146" s="8" t="s">
        <v>48</v>
      </c>
      <c r="I146" s="8" t="s">
        <v>1489</v>
      </c>
      <c r="J146" s="8" t="s">
        <v>49</v>
      </c>
      <c r="K146" s="8" t="s">
        <v>32</v>
      </c>
      <c r="L146" s="8" t="s">
        <v>55</v>
      </c>
      <c r="M146" s="12"/>
      <c r="N146" s="12"/>
      <c r="O146" s="12" t="s">
        <v>530</v>
      </c>
      <c r="P146" s="12"/>
      <c r="Q146" s="12"/>
      <c r="R146" s="12"/>
      <c r="S146" s="12"/>
      <c r="T146" s="12"/>
    </row>
    <row r="147" ht="15.75" customHeight="1">
      <c r="A147" s="8" t="s">
        <v>1493</v>
      </c>
      <c r="B147" s="8" t="s">
        <v>269</v>
      </c>
      <c r="C147" s="8" t="s">
        <v>263</v>
      </c>
      <c r="D147" s="11" t="s">
        <v>1494</v>
      </c>
      <c r="E147" s="8" t="s">
        <v>1495</v>
      </c>
      <c r="F147" s="8" t="s">
        <v>1496</v>
      </c>
      <c r="G147" s="8" t="s">
        <v>928</v>
      </c>
      <c r="H147" s="8" t="s">
        <v>55</v>
      </c>
      <c r="I147" s="8"/>
      <c r="J147" s="8" t="s">
        <v>57</v>
      </c>
      <c r="K147" s="8" t="s">
        <v>59</v>
      </c>
      <c r="L147" s="8" t="s">
        <v>55</v>
      </c>
      <c r="M147" s="12"/>
      <c r="N147" s="12"/>
      <c r="O147" s="12"/>
      <c r="P147" s="12"/>
      <c r="Q147" s="12"/>
      <c r="R147" s="12"/>
      <c r="S147" s="12"/>
      <c r="T147" s="12"/>
    </row>
    <row r="148" ht="15.75" customHeight="1">
      <c r="A148" s="8" t="s">
        <v>1497</v>
      </c>
      <c r="B148" s="8" t="s">
        <v>424</v>
      </c>
      <c r="C148" s="8" t="s">
        <v>250</v>
      </c>
      <c r="D148" s="11" t="s">
        <v>1498</v>
      </c>
      <c r="E148" s="8" t="s">
        <v>1499</v>
      </c>
      <c r="F148" s="8" t="s">
        <v>1500</v>
      </c>
      <c r="G148" s="8" t="s">
        <v>1000</v>
      </c>
      <c r="H148" s="8" t="s">
        <v>48</v>
      </c>
      <c r="I148" s="8" t="s">
        <v>1497</v>
      </c>
      <c r="J148" s="8" t="s">
        <v>49</v>
      </c>
      <c r="K148" s="8" t="s">
        <v>32</v>
      </c>
      <c r="L148" s="8" t="s">
        <v>55</v>
      </c>
      <c r="M148" s="12"/>
      <c r="N148" s="12"/>
      <c r="O148" s="12" t="s">
        <v>276</v>
      </c>
      <c r="P148" s="12"/>
      <c r="Q148" s="12"/>
      <c r="R148" s="12"/>
      <c r="S148" s="12"/>
      <c r="T148" s="12"/>
    </row>
    <row r="149" ht="15.75" customHeight="1">
      <c r="A149" s="8" t="s">
        <v>1501</v>
      </c>
      <c r="B149" s="8" t="s">
        <v>424</v>
      </c>
      <c r="C149" s="8" t="s">
        <v>1502</v>
      </c>
      <c r="D149" s="11"/>
      <c r="E149" s="8" t="s">
        <v>1503</v>
      </c>
      <c r="F149" s="8" t="s">
        <v>1504</v>
      </c>
      <c r="G149" s="8" t="s">
        <v>1000</v>
      </c>
      <c r="H149" s="8" t="s">
        <v>48</v>
      </c>
      <c r="I149" s="8" t="s">
        <v>1501</v>
      </c>
      <c r="J149" s="8" t="s">
        <v>49</v>
      </c>
      <c r="K149" s="8" t="s">
        <v>31</v>
      </c>
      <c r="L149" s="8" t="s">
        <v>55</v>
      </c>
      <c r="M149" s="12"/>
      <c r="N149" s="12"/>
      <c r="O149" s="12" t="s">
        <v>77</v>
      </c>
      <c r="P149" s="12"/>
      <c r="Q149" s="12"/>
      <c r="R149" s="12"/>
      <c r="S149" s="12"/>
      <c r="T149" s="12"/>
    </row>
    <row r="150" ht="15.75" customHeight="1">
      <c r="A150" s="8" t="s">
        <v>1505</v>
      </c>
      <c r="B150" s="8" t="s">
        <v>424</v>
      </c>
      <c r="C150" s="8" t="s">
        <v>40</v>
      </c>
      <c r="D150" s="11" t="s">
        <v>1506</v>
      </c>
      <c r="E150" s="8" t="s">
        <v>1507</v>
      </c>
      <c r="F150" s="8" t="s">
        <v>1508</v>
      </c>
      <c r="G150" s="8" t="s">
        <v>1509</v>
      </c>
      <c r="H150" s="8" t="s">
        <v>48</v>
      </c>
      <c r="I150" s="8" t="s">
        <v>1505</v>
      </c>
      <c r="J150" s="8" t="s">
        <v>49</v>
      </c>
      <c r="K150" s="8" t="s">
        <v>31</v>
      </c>
      <c r="L150" s="8" t="s">
        <v>48</v>
      </c>
      <c r="M150" s="12" t="s">
        <v>1510</v>
      </c>
      <c r="N150" s="12" t="s">
        <v>818</v>
      </c>
      <c r="O150" s="12" t="s">
        <v>225</v>
      </c>
      <c r="P150" s="12"/>
      <c r="Q150" s="12"/>
      <c r="R150" s="12"/>
      <c r="S150" s="12"/>
      <c r="T150" s="12"/>
    </row>
    <row r="151" ht="15.75" customHeight="1">
      <c r="A151" s="8" t="s">
        <v>141</v>
      </c>
      <c r="B151" s="8" t="s">
        <v>424</v>
      </c>
      <c r="C151" s="8" t="s">
        <v>40</v>
      </c>
      <c r="D151" s="11" t="s">
        <v>145</v>
      </c>
      <c r="E151" s="8" t="s">
        <v>146</v>
      </c>
      <c r="F151" s="8" t="s">
        <v>147</v>
      </c>
      <c r="G151" s="8" t="s">
        <v>1000</v>
      </c>
      <c r="H151" s="8" t="s">
        <v>48</v>
      </c>
      <c r="I151" s="8" t="s">
        <v>141</v>
      </c>
      <c r="J151" s="8" t="s">
        <v>49</v>
      </c>
      <c r="K151" s="8" t="s">
        <v>31</v>
      </c>
      <c r="L151" s="8" t="s">
        <v>48</v>
      </c>
      <c r="M151" s="12" t="s">
        <v>149</v>
      </c>
      <c r="N151" s="12" t="s">
        <v>80</v>
      </c>
      <c r="O151" s="12" t="s">
        <v>151</v>
      </c>
      <c r="P151" s="12"/>
      <c r="Q151" s="12"/>
      <c r="R151" s="12"/>
      <c r="S151" s="12"/>
      <c r="T151" s="12"/>
    </row>
    <row r="152" ht="15.75" customHeight="1">
      <c r="A152" s="8" t="s">
        <v>1511</v>
      </c>
      <c r="B152" s="8" t="s">
        <v>424</v>
      </c>
      <c r="C152" s="8" t="s">
        <v>250</v>
      </c>
      <c r="D152" s="11" t="s">
        <v>1512</v>
      </c>
      <c r="E152" s="8" t="s">
        <v>1513</v>
      </c>
      <c r="F152" s="8" t="s">
        <v>1514</v>
      </c>
      <c r="G152" s="8" t="s">
        <v>1000</v>
      </c>
      <c r="H152" s="8" t="s">
        <v>48</v>
      </c>
      <c r="I152" s="8" t="s">
        <v>1511</v>
      </c>
      <c r="J152" s="8" t="s">
        <v>49</v>
      </c>
      <c r="K152" s="8" t="s">
        <v>32</v>
      </c>
      <c r="L152" s="8" t="s">
        <v>48</v>
      </c>
      <c r="M152" s="12" t="s">
        <v>149</v>
      </c>
      <c r="N152" s="12" t="s">
        <v>80</v>
      </c>
      <c r="O152" s="12" t="s">
        <v>276</v>
      </c>
      <c r="P152" s="12" t="s">
        <v>1515</v>
      </c>
      <c r="Q152" s="12"/>
      <c r="R152" s="12"/>
      <c r="S152" s="12"/>
      <c r="T152" s="12"/>
    </row>
    <row r="153" ht="15.75" customHeight="1">
      <c r="A153" s="8" t="s">
        <v>1516</v>
      </c>
      <c r="B153" s="8" t="s">
        <v>424</v>
      </c>
      <c r="C153" s="8" t="s">
        <v>40</v>
      </c>
      <c r="D153" s="11" t="s">
        <v>1517</v>
      </c>
      <c r="E153" s="8" t="s">
        <v>1518</v>
      </c>
      <c r="F153" s="8" t="s">
        <v>1519</v>
      </c>
      <c r="G153" s="8" t="s">
        <v>1003</v>
      </c>
      <c r="H153" s="8" t="s">
        <v>48</v>
      </c>
      <c r="I153" s="8" t="s">
        <v>1520</v>
      </c>
      <c r="J153" s="8" t="s">
        <v>49</v>
      </c>
      <c r="K153" s="8" t="s">
        <v>31</v>
      </c>
      <c r="L153" s="8" t="s">
        <v>48</v>
      </c>
      <c r="M153" s="12"/>
      <c r="N153" s="12"/>
      <c r="O153" s="12" t="s">
        <v>207</v>
      </c>
      <c r="P153" s="12"/>
      <c r="Q153" s="12"/>
      <c r="R153" s="12"/>
      <c r="S153" s="12"/>
      <c r="T153" s="12"/>
    </row>
    <row r="154" ht="15.75" customHeight="1">
      <c r="A154" s="8" t="s">
        <v>1521</v>
      </c>
      <c r="B154" s="8" t="s">
        <v>424</v>
      </c>
      <c r="C154" s="8" t="s">
        <v>250</v>
      </c>
      <c r="D154" s="11" t="s">
        <v>1522</v>
      </c>
      <c r="E154" s="8" t="s">
        <v>1523</v>
      </c>
      <c r="F154" s="8" t="s">
        <v>1524</v>
      </c>
      <c r="G154" s="8" t="s">
        <v>1000</v>
      </c>
      <c r="H154" s="8" t="s">
        <v>55</v>
      </c>
      <c r="I154" s="8"/>
      <c r="J154" s="8" t="s">
        <v>57</v>
      </c>
      <c r="K154" s="8" t="s">
        <v>59</v>
      </c>
      <c r="L154" s="8" t="s">
        <v>55</v>
      </c>
      <c r="M154" s="12"/>
      <c r="N154" s="12"/>
      <c r="O154" s="12"/>
      <c r="P154" s="12"/>
      <c r="Q154" s="12"/>
      <c r="R154" s="12"/>
      <c r="S154" s="12"/>
      <c r="T154" s="12"/>
    </row>
    <row r="155" ht="15.75" customHeight="1">
      <c r="A155" s="8" t="s">
        <v>1525</v>
      </c>
      <c r="B155" s="8" t="s">
        <v>424</v>
      </c>
      <c r="C155" s="8" t="s">
        <v>40</v>
      </c>
      <c r="D155" s="11" t="s">
        <v>1526</v>
      </c>
      <c r="E155" s="8" t="s">
        <v>1527</v>
      </c>
      <c r="F155" s="8" t="s">
        <v>1528</v>
      </c>
      <c r="G155" s="8" t="s">
        <v>1003</v>
      </c>
      <c r="H155" s="8" t="s">
        <v>55</v>
      </c>
      <c r="I155" s="8"/>
      <c r="J155" s="8" t="s">
        <v>57</v>
      </c>
      <c r="K155" s="8" t="s">
        <v>59</v>
      </c>
      <c r="L155" s="8" t="s">
        <v>55</v>
      </c>
      <c r="M155" s="12"/>
      <c r="N155" s="12"/>
      <c r="O155" s="12"/>
      <c r="P155" s="12"/>
      <c r="Q155" s="12"/>
      <c r="R155" s="12"/>
      <c r="S155" s="12"/>
      <c r="T155" s="12"/>
    </row>
    <row r="156" ht="15.75" customHeight="1">
      <c r="A156" s="8" t="s">
        <v>1529</v>
      </c>
      <c r="B156" s="8" t="s">
        <v>424</v>
      </c>
      <c r="C156" s="8" t="s">
        <v>442</v>
      </c>
      <c r="D156" s="11" t="s">
        <v>1530</v>
      </c>
      <c r="E156" s="8" t="s">
        <v>1531</v>
      </c>
      <c r="F156" s="8" t="s">
        <v>1532</v>
      </c>
      <c r="G156" s="8" t="s">
        <v>1000</v>
      </c>
      <c r="H156" s="8" t="s">
        <v>55</v>
      </c>
      <c r="I156" s="8"/>
      <c r="J156" s="8" t="s">
        <v>57</v>
      </c>
      <c r="K156" s="8" t="s">
        <v>59</v>
      </c>
      <c r="L156" s="8" t="s">
        <v>55</v>
      </c>
      <c r="M156" s="12"/>
      <c r="N156" s="12"/>
      <c r="O156" s="12"/>
      <c r="P156" s="12"/>
      <c r="Q156" s="12"/>
      <c r="R156" s="12"/>
      <c r="S156" s="12"/>
      <c r="T156" s="12"/>
    </row>
    <row r="157" ht="15.75" customHeight="1">
      <c r="A157" s="8" t="s">
        <v>1533</v>
      </c>
      <c r="B157" s="8" t="s">
        <v>424</v>
      </c>
      <c r="C157" s="8" t="s">
        <v>250</v>
      </c>
      <c r="D157" s="11" t="s">
        <v>1534</v>
      </c>
      <c r="E157" s="8" t="s">
        <v>1535</v>
      </c>
      <c r="F157" s="8" t="s">
        <v>1536</v>
      </c>
      <c r="G157" s="8" t="s">
        <v>1000</v>
      </c>
      <c r="H157" s="8" t="s">
        <v>48</v>
      </c>
      <c r="I157" s="8" t="s">
        <v>1533</v>
      </c>
      <c r="J157" s="8" t="s">
        <v>49</v>
      </c>
      <c r="K157" s="8" t="s">
        <v>31</v>
      </c>
      <c r="L157" s="8" t="s">
        <v>55</v>
      </c>
      <c r="M157" s="12"/>
      <c r="N157" s="12"/>
      <c r="O157" s="12" t="s">
        <v>1537</v>
      </c>
      <c r="P157" s="12"/>
      <c r="Q157" s="12"/>
      <c r="R157" s="12"/>
      <c r="S157" s="12"/>
      <c r="T157" s="12"/>
    </row>
    <row r="158" ht="15.75" customHeight="1">
      <c r="A158" s="8" t="s">
        <v>1538</v>
      </c>
      <c r="B158" s="8" t="s">
        <v>424</v>
      </c>
      <c r="C158" s="8" t="s">
        <v>250</v>
      </c>
      <c r="D158" s="11" t="s">
        <v>1539</v>
      </c>
      <c r="E158" s="8" t="s">
        <v>1540</v>
      </c>
      <c r="F158" s="8" t="s">
        <v>1541</v>
      </c>
      <c r="G158" s="8" t="s">
        <v>1000</v>
      </c>
      <c r="H158" s="8" t="s">
        <v>48</v>
      </c>
      <c r="I158" s="8" t="s">
        <v>1538</v>
      </c>
      <c r="J158" s="8" t="s">
        <v>49</v>
      </c>
      <c r="K158" s="8" t="s">
        <v>32</v>
      </c>
      <c r="L158" s="8" t="s">
        <v>48</v>
      </c>
      <c r="M158" s="12" t="s">
        <v>149</v>
      </c>
      <c r="N158" s="12" t="s">
        <v>80</v>
      </c>
      <c r="O158" s="12" t="s">
        <v>276</v>
      </c>
      <c r="P158" s="12" t="s">
        <v>1542</v>
      </c>
      <c r="Q158" s="12"/>
      <c r="R158" s="12"/>
      <c r="S158" s="12"/>
      <c r="T158" s="12"/>
    </row>
    <row r="159" ht="15.75" customHeight="1">
      <c r="A159" s="8" t="s">
        <v>1543</v>
      </c>
      <c r="B159" s="8" t="s">
        <v>424</v>
      </c>
      <c r="C159" s="8" t="s">
        <v>40</v>
      </c>
      <c r="D159" s="11" t="s">
        <v>1544</v>
      </c>
      <c r="E159" s="8" t="s">
        <v>1545</v>
      </c>
      <c r="F159" s="8" t="s">
        <v>1546</v>
      </c>
      <c r="G159" s="8" t="s">
        <v>1031</v>
      </c>
      <c r="H159" s="8" t="s">
        <v>48</v>
      </c>
      <c r="I159" s="8" t="s">
        <v>1543</v>
      </c>
      <c r="J159" s="8" t="s">
        <v>49</v>
      </c>
      <c r="K159" s="8" t="s">
        <v>31</v>
      </c>
      <c r="L159" s="8" t="s">
        <v>48</v>
      </c>
      <c r="M159" s="12" t="s">
        <v>1547</v>
      </c>
      <c r="N159" s="12" t="s">
        <v>391</v>
      </c>
      <c r="O159" s="12" t="s">
        <v>888</v>
      </c>
      <c r="P159" s="12"/>
      <c r="Q159" s="12"/>
      <c r="R159" s="12"/>
      <c r="S159" s="12"/>
      <c r="T159" s="12"/>
    </row>
    <row r="160" ht="15.75" customHeight="1">
      <c r="A160" s="8" t="s">
        <v>1106</v>
      </c>
      <c r="B160" s="8" t="s">
        <v>424</v>
      </c>
      <c r="C160" s="8" t="s">
        <v>394</v>
      </c>
      <c r="D160" s="11" t="s">
        <v>1548</v>
      </c>
      <c r="E160" s="8" t="s">
        <v>1113</v>
      </c>
      <c r="F160" s="8" t="s">
        <v>1115</v>
      </c>
      <c r="G160" s="8" t="s">
        <v>1031</v>
      </c>
      <c r="H160" s="8" t="s">
        <v>48</v>
      </c>
      <c r="I160" s="8" t="s">
        <v>1106</v>
      </c>
      <c r="J160" s="8" t="s">
        <v>49</v>
      </c>
      <c r="K160" s="8" t="s">
        <v>31</v>
      </c>
      <c r="L160" s="8" t="s">
        <v>55</v>
      </c>
      <c r="M160" s="12"/>
      <c r="N160" s="12"/>
      <c r="O160" s="12" t="s">
        <v>77</v>
      </c>
      <c r="P160" s="12"/>
      <c r="Q160" s="12"/>
      <c r="R160" s="12"/>
      <c r="S160" s="12"/>
      <c r="T160" s="12"/>
    </row>
    <row r="161" ht="15.75" customHeight="1">
      <c r="A161" s="8" t="s">
        <v>1549</v>
      </c>
      <c r="B161" s="8" t="s">
        <v>424</v>
      </c>
      <c r="C161" s="8" t="s">
        <v>40</v>
      </c>
      <c r="D161" s="11" t="s">
        <v>1550</v>
      </c>
      <c r="E161" s="8" t="s">
        <v>1551</v>
      </c>
      <c r="F161" s="8" t="s">
        <v>1552</v>
      </c>
      <c r="G161" s="8" t="s">
        <v>1000</v>
      </c>
      <c r="H161" s="8" t="s">
        <v>48</v>
      </c>
      <c r="I161" s="8" t="s">
        <v>1549</v>
      </c>
      <c r="J161" s="8" t="s">
        <v>49</v>
      </c>
      <c r="K161" s="8" t="s">
        <v>31</v>
      </c>
      <c r="L161" s="8" t="s">
        <v>48</v>
      </c>
      <c r="M161" s="12" t="s">
        <v>148</v>
      </c>
      <c r="N161" s="12" t="s">
        <v>56</v>
      </c>
      <c r="O161" s="12" t="s">
        <v>1553</v>
      </c>
      <c r="P161" s="12"/>
      <c r="Q161" s="12"/>
      <c r="R161" s="12"/>
      <c r="S161" s="12"/>
      <c r="T161" s="12"/>
    </row>
    <row r="162" ht="15.75" customHeight="1">
      <c r="A162" s="8" t="s">
        <v>1554</v>
      </c>
      <c r="B162" s="8" t="s">
        <v>424</v>
      </c>
      <c r="C162" s="8" t="s">
        <v>40</v>
      </c>
      <c r="D162" s="11" t="s">
        <v>1555</v>
      </c>
      <c r="E162" s="8" t="s">
        <v>1556</v>
      </c>
      <c r="F162" s="8" t="s">
        <v>1557</v>
      </c>
      <c r="G162" s="8" t="s">
        <v>1558</v>
      </c>
      <c r="H162" s="8" t="s">
        <v>55</v>
      </c>
      <c r="I162" s="8"/>
      <c r="J162" s="8" t="s">
        <v>57</v>
      </c>
      <c r="K162" s="8" t="s">
        <v>59</v>
      </c>
      <c r="L162" s="8" t="s">
        <v>55</v>
      </c>
      <c r="M162" s="12"/>
      <c r="N162" s="12"/>
      <c r="O162" s="12"/>
      <c r="P162" s="12"/>
      <c r="Q162" s="12"/>
      <c r="R162" s="12"/>
      <c r="S162" s="12"/>
      <c r="T162" s="12"/>
    </row>
    <row r="163" ht="15.75" customHeight="1">
      <c r="A163" s="8" t="s">
        <v>1559</v>
      </c>
      <c r="B163" s="8" t="s">
        <v>424</v>
      </c>
      <c r="C163" s="8" t="s">
        <v>307</v>
      </c>
      <c r="D163" s="11" t="s">
        <v>1560</v>
      </c>
      <c r="E163" s="8" t="s">
        <v>1561</v>
      </c>
      <c r="F163" s="8" t="s">
        <v>1562</v>
      </c>
      <c r="G163" s="8" t="s">
        <v>1000</v>
      </c>
      <c r="H163" s="8" t="s">
        <v>48</v>
      </c>
      <c r="I163" s="8" t="s">
        <v>1559</v>
      </c>
      <c r="J163" s="8" t="s">
        <v>49</v>
      </c>
      <c r="K163" s="8" t="s">
        <v>32</v>
      </c>
      <c r="L163" s="8" t="s">
        <v>48</v>
      </c>
      <c r="M163" s="12" t="s">
        <v>149</v>
      </c>
      <c r="N163" s="12" t="s">
        <v>80</v>
      </c>
      <c r="O163" s="12" t="s">
        <v>530</v>
      </c>
      <c r="P163" s="12" t="s">
        <v>1563</v>
      </c>
      <c r="Q163" s="12"/>
      <c r="R163" s="12"/>
      <c r="S163" s="12"/>
      <c r="T163" s="12"/>
    </row>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163"/>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0.0"/>
    <col customWidth="1" min="3" max="3" width="30.0"/>
    <col customWidth="1" min="4" max="4" width="45.0"/>
    <col customWidth="1" min="5" max="5" width="19.0"/>
    <col customWidth="1" min="6" max="6" width="12.0"/>
    <col customWidth="1" min="7" max="7" width="32.0"/>
    <col customWidth="1" min="8" max="8" width="11.0"/>
    <col customWidth="1" min="9" max="9" width="13.0"/>
    <col customWidth="1" min="10" max="10" width="24.0"/>
    <col customWidth="1" min="11" max="11" width="17.0"/>
    <col customWidth="1" min="12" max="12" width="14.0"/>
    <col customWidth="1" min="13" max="13" width="35.14"/>
    <col customWidth="1" min="14" max="14" width="28.57"/>
    <col customWidth="1" min="15" max="15" width="23.0"/>
    <col customWidth="1" min="16" max="16" width="8.71"/>
  </cols>
  <sheetData>
    <row r="1">
      <c r="A1" s="4" t="s">
        <v>2</v>
      </c>
      <c r="B1" s="4" t="s">
        <v>4</v>
      </c>
      <c r="C1" s="4" t="s">
        <v>5</v>
      </c>
      <c r="D1" s="4" t="s">
        <v>6</v>
      </c>
      <c r="E1" s="4" t="s">
        <v>7</v>
      </c>
      <c r="F1" s="4" t="s">
        <v>9</v>
      </c>
      <c r="G1" s="4" t="s">
        <v>11</v>
      </c>
      <c r="H1" s="4" t="s">
        <v>12</v>
      </c>
      <c r="I1" s="4" t="s">
        <v>14</v>
      </c>
      <c r="J1" s="4" t="s">
        <v>15</v>
      </c>
      <c r="K1" s="4" t="s">
        <v>17</v>
      </c>
      <c r="L1" s="4" t="s">
        <v>18</v>
      </c>
      <c r="M1" s="5" t="s">
        <v>21</v>
      </c>
      <c r="N1" s="5" t="s">
        <v>26</v>
      </c>
      <c r="O1" s="5" t="s">
        <v>27</v>
      </c>
      <c r="P1" s="5" t="s">
        <v>29</v>
      </c>
      <c r="Q1" s="9"/>
      <c r="R1" s="9"/>
      <c r="S1" s="9"/>
      <c r="T1" s="9"/>
      <c r="U1" s="9"/>
      <c r="V1" s="9"/>
      <c r="W1" s="9"/>
      <c r="X1" s="9"/>
      <c r="Y1" s="9"/>
      <c r="Z1" s="9"/>
    </row>
    <row r="2">
      <c r="A2" s="8" t="s">
        <v>45</v>
      </c>
      <c r="B2" s="8" t="s">
        <v>39</v>
      </c>
      <c r="C2" s="8" t="s">
        <v>40</v>
      </c>
      <c r="D2" s="11" t="s">
        <v>50</v>
      </c>
      <c r="E2" s="8" t="s">
        <v>51</v>
      </c>
      <c r="F2" s="8" t="s">
        <v>52</v>
      </c>
      <c r="G2" s="8" t="s">
        <v>54</v>
      </c>
      <c r="H2" s="8" t="s">
        <v>55</v>
      </c>
      <c r="I2" s="8"/>
      <c r="J2" s="8" t="s">
        <v>57</v>
      </c>
      <c r="K2" s="8" t="s">
        <v>59</v>
      </c>
      <c r="L2" s="8" t="s">
        <v>55</v>
      </c>
      <c r="M2" s="12"/>
      <c r="N2" s="12"/>
      <c r="O2" s="12"/>
      <c r="P2" s="12"/>
    </row>
    <row r="3">
      <c r="A3" s="8" t="s">
        <v>62</v>
      </c>
      <c r="B3" s="8" t="s">
        <v>39</v>
      </c>
      <c r="C3" s="8" t="s">
        <v>40</v>
      </c>
      <c r="D3" s="11" t="s">
        <v>66</v>
      </c>
      <c r="E3" s="8" t="s">
        <v>67</v>
      </c>
      <c r="F3" s="8" t="s">
        <v>68</v>
      </c>
      <c r="G3" s="8" t="s">
        <v>47</v>
      </c>
      <c r="H3" s="8" t="s">
        <v>48</v>
      </c>
      <c r="I3" s="8" t="s">
        <v>62</v>
      </c>
      <c r="J3" s="8" t="s">
        <v>49</v>
      </c>
      <c r="K3" s="8" t="s">
        <v>31</v>
      </c>
      <c r="L3" s="8" t="s">
        <v>48</v>
      </c>
      <c r="M3" s="12" t="s">
        <v>79</v>
      </c>
      <c r="N3" s="12" t="s">
        <v>80</v>
      </c>
      <c r="O3" s="12" t="s">
        <v>77</v>
      </c>
      <c r="P3" s="12"/>
    </row>
    <row r="4">
      <c r="A4" s="8" t="s">
        <v>84</v>
      </c>
      <c r="B4" s="8" t="s">
        <v>39</v>
      </c>
      <c r="C4" s="8" t="s">
        <v>40</v>
      </c>
      <c r="D4" s="11" t="s">
        <v>86</v>
      </c>
      <c r="E4" s="8" t="s">
        <v>87</v>
      </c>
      <c r="F4" s="8" t="s">
        <v>88</v>
      </c>
      <c r="G4" s="8" t="s">
        <v>47</v>
      </c>
      <c r="H4" s="8" t="s">
        <v>48</v>
      </c>
      <c r="I4" s="8" t="s">
        <v>84</v>
      </c>
      <c r="J4" s="8" t="s">
        <v>49</v>
      </c>
      <c r="K4" s="8" t="s">
        <v>31</v>
      </c>
      <c r="L4" s="8" t="s">
        <v>48</v>
      </c>
      <c r="M4" s="12" t="s">
        <v>92</v>
      </c>
      <c r="N4" s="12" t="s">
        <v>80</v>
      </c>
      <c r="O4" s="12" t="s">
        <v>94</v>
      </c>
      <c r="P4" s="12"/>
    </row>
    <row r="5">
      <c r="A5" s="8" t="s">
        <v>95</v>
      </c>
      <c r="B5" s="8" t="s">
        <v>39</v>
      </c>
      <c r="C5" s="8" t="s">
        <v>40</v>
      </c>
      <c r="D5" s="11" t="s">
        <v>97</v>
      </c>
      <c r="E5" s="8" t="s">
        <v>99</v>
      </c>
      <c r="F5" s="8" t="s">
        <v>101</v>
      </c>
      <c r="G5" s="8" t="s">
        <v>47</v>
      </c>
      <c r="H5" s="8" t="s">
        <v>48</v>
      </c>
      <c r="I5" s="8" t="s">
        <v>95</v>
      </c>
      <c r="J5" s="8" t="s">
        <v>49</v>
      </c>
      <c r="K5" s="8" t="s">
        <v>31</v>
      </c>
      <c r="L5" s="8" t="s">
        <v>48</v>
      </c>
      <c r="M5" s="12" t="s">
        <v>79</v>
      </c>
      <c r="N5" s="12" t="s">
        <v>80</v>
      </c>
      <c r="O5" s="12" t="s">
        <v>106</v>
      </c>
      <c r="P5" s="12"/>
    </row>
    <row r="6">
      <c r="A6" s="8" t="s">
        <v>108</v>
      </c>
      <c r="B6" s="8" t="s">
        <v>39</v>
      </c>
      <c r="C6" s="8" t="s">
        <v>40</v>
      </c>
      <c r="D6" s="11" t="s">
        <v>110</v>
      </c>
      <c r="E6" s="8" t="s">
        <v>112</v>
      </c>
      <c r="F6" s="8" t="s">
        <v>113</v>
      </c>
      <c r="G6" s="8" t="s">
        <v>54</v>
      </c>
      <c r="H6" s="8" t="s">
        <v>48</v>
      </c>
      <c r="I6" s="8" t="s">
        <v>108</v>
      </c>
      <c r="J6" s="8" t="s">
        <v>49</v>
      </c>
      <c r="K6" s="8" t="s">
        <v>31</v>
      </c>
      <c r="L6" s="8" t="s">
        <v>48</v>
      </c>
      <c r="M6" s="12" t="s">
        <v>92</v>
      </c>
      <c r="N6" s="12" t="s">
        <v>80</v>
      </c>
      <c r="O6" s="12" t="s">
        <v>77</v>
      </c>
      <c r="P6" s="12"/>
    </row>
    <row r="7">
      <c r="A7" s="8" t="s">
        <v>122</v>
      </c>
      <c r="B7" s="8" t="s">
        <v>39</v>
      </c>
      <c r="C7" s="8" t="s">
        <v>40</v>
      </c>
      <c r="D7" s="11" t="s">
        <v>124</v>
      </c>
      <c r="E7" s="8" t="s">
        <v>125</v>
      </c>
      <c r="F7" s="8" t="s">
        <v>126</v>
      </c>
      <c r="G7" s="8" t="s">
        <v>47</v>
      </c>
      <c r="H7" s="8" t="s">
        <v>48</v>
      </c>
      <c r="I7" s="8" t="s">
        <v>122</v>
      </c>
      <c r="J7" s="8" t="s">
        <v>49</v>
      </c>
      <c r="K7" s="8" t="s">
        <v>31</v>
      </c>
      <c r="L7" s="8" t="s">
        <v>48</v>
      </c>
      <c r="M7" s="12" t="s">
        <v>92</v>
      </c>
      <c r="N7" s="12" t="s">
        <v>80</v>
      </c>
      <c r="O7" s="12" t="s">
        <v>109</v>
      </c>
      <c r="P7" s="12"/>
    </row>
    <row r="8">
      <c r="A8" s="8" t="s">
        <v>130</v>
      </c>
      <c r="B8" s="8" t="s">
        <v>39</v>
      </c>
      <c r="C8" s="8" t="s">
        <v>40</v>
      </c>
      <c r="D8" s="11" t="s">
        <v>131</v>
      </c>
      <c r="E8" s="8" t="s">
        <v>133</v>
      </c>
      <c r="F8" s="8" t="s">
        <v>135</v>
      </c>
      <c r="G8" s="8" t="s">
        <v>117</v>
      </c>
      <c r="H8" s="8" t="s">
        <v>48</v>
      </c>
      <c r="I8" s="8" t="s">
        <v>130</v>
      </c>
      <c r="J8" s="8" t="s">
        <v>49</v>
      </c>
      <c r="K8" s="8" t="s">
        <v>31</v>
      </c>
      <c r="L8" s="8" t="s">
        <v>48</v>
      </c>
      <c r="M8" s="12" t="s">
        <v>139</v>
      </c>
      <c r="N8" s="12" t="s">
        <v>80</v>
      </c>
      <c r="O8" s="12" t="s">
        <v>77</v>
      </c>
      <c r="P8" s="12"/>
    </row>
    <row r="9">
      <c r="A9" s="8" t="s">
        <v>141</v>
      </c>
      <c r="B9" s="8" t="s">
        <v>39</v>
      </c>
      <c r="C9" s="8" t="s">
        <v>40</v>
      </c>
      <c r="D9" s="11" t="s">
        <v>145</v>
      </c>
      <c r="E9" s="8" t="s">
        <v>146</v>
      </c>
      <c r="F9" s="8" t="s">
        <v>147</v>
      </c>
      <c r="G9" s="8" t="s">
        <v>54</v>
      </c>
      <c r="H9" s="8" t="s">
        <v>48</v>
      </c>
      <c r="I9" s="8" t="s">
        <v>141</v>
      </c>
      <c r="J9" s="8" t="s">
        <v>49</v>
      </c>
      <c r="K9" s="8" t="s">
        <v>31</v>
      </c>
      <c r="L9" s="8" t="s">
        <v>48</v>
      </c>
      <c r="M9" s="12" t="s">
        <v>149</v>
      </c>
      <c r="N9" s="12" t="s">
        <v>80</v>
      </c>
      <c r="O9" s="12" t="s">
        <v>151</v>
      </c>
      <c r="P9" s="12"/>
    </row>
    <row r="10">
      <c r="A10" s="8" t="s">
        <v>155</v>
      </c>
      <c r="B10" s="8" t="s">
        <v>39</v>
      </c>
      <c r="C10" s="8" t="s">
        <v>40</v>
      </c>
      <c r="D10" s="11" t="s">
        <v>156</v>
      </c>
      <c r="E10" s="8" t="s">
        <v>157</v>
      </c>
      <c r="F10" s="8" t="s">
        <v>159</v>
      </c>
      <c r="G10" s="8" t="s">
        <v>54</v>
      </c>
      <c r="H10" s="8" t="s">
        <v>48</v>
      </c>
      <c r="I10" s="8" t="s">
        <v>155</v>
      </c>
      <c r="J10" s="8" t="s">
        <v>49</v>
      </c>
      <c r="K10" s="8" t="s">
        <v>31</v>
      </c>
      <c r="L10" s="8" t="s">
        <v>48</v>
      </c>
      <c r="M10" s="12" t="s">
        <v>92</v>
      </c>
      <c r="N10" s="12" t="s">
        <v>80</v>
      </c>
      <c r="O10" s="12" t="s">
        <v>77</v>
      </c>
      <c r="P10" s="12"/>
    </row>
    <row r="11">
      <c r="A11" s="8" t="s">
        <v>165</v>
      </c>
      <c r="B11" s="8" t="s">
        <v>39</v>
      </c>
      <c r="C11" s="8" t="s">
        <v>40</v>
      </c>
      <c r="D11" s="11" t="s">
        <v>166</v>
      </c>
      <c r="E11" s="8" t="s">
        <v>167</v>
      </c>
      <c r="F11" s="8" t="s">
        <v>168</v>
      </c>
      <c r="G11" s="8" t="s">
        <v>54</v>
      </c>
      <c r="H11" s="8" t="s">
        <v>48</v>
      </c>
      <c r="I11" s="8" t="s">
        <v>165</v>
      </c>
      <c r="J11" s="8" t="s">
        <v>49</v>
      </c>
      <c r="K11" s="8" t="s">
        <v>31</v>
      </c>
      <c r="L11" s="8" t="s">
        <v>48</v>
      </c>
      <c r="M11" s="12" t="s">
        <v>92</v>
      </c>
      <c r="N11" s="12" t="s">
        <v>80</v>
      </c>
      <c r="O11" s="12" t="s">
        <v>77</v>
      </c>
      <c r="P11" s="12"/>
    </row>
    <row r="12">
      <c r="A12" s="8" t="s">
        <v>173</v>
      </c>
      <c r="B12" s="8" t="s">
        <v>39</v>
      </c>
      <c r="C12" s="8" t="s">
        <v>40</v>
      </c>
      <c r="D12" s="11" t="s">
        <v>174</v>
      </c>
      <c r="E12" s="8" t="s">
        <v>176</v>
      </c>
      <c r="F12" s="8" t="s">
        <v>177</v>
      </c>
      <c r="G12" s="8" t="s">
        <v>117</v>
      </c>
      <c r="H12" s="8" t="s">
        <v>48</v>
      </c>
      <c r="I12" s="8" t="s">
        <v>173</v>
      </c>
      <c r="J12" s="8" t="s">
        <v>49</v>
      </c>
      <c r="K12" s="8" t="s">
        <v>31</v>
      </c>
      <c r="L12" s="8" t="s">
        <v>55</v>
      </c>
      <c r="M12" s="12"/>
      <c r="N12" s="12"/>
      <c r="O12" s="12" t="s">
        <v>181</v>
      </c>
      <c r="P12" s="12"/>
    </row>
    <row r="13">
      <c r="A13" s="8" t="s">
        <v>183</v>
      </c>
      <c r="B13" s="8" t="s">
        <v>39</v>
      </c>
      <c r="C13" s="8" t="s">
        <v>40</v>
      </c>
      <c r="D13" s="11" t="s">
        <v>185</v>
      </c>
      <c r="E13" s="8" t="s">
        <v>186</v>
      </c>
      <c r="F13" s="8" t="s">
        <v>188</v>
      </c>
      <c r="G13" s="8" t="s">
        <v>54</v>
      </c>
      <c r="H13" s="8" t="s">
        <v>48</v>
      </c>
      <c r="I13" s="8" t="s">
        <v>183</v>
      </c>
      <c r="J13" s="8" t="s">
        <v>49</v>
      </c>
      <c r="K13" s="8" t="s">
        <v>31</v>
      </c>
      <c r="L13" s="8" t="s">
        <v>48</v>
      </c>
      <c r="M13" s="12" t="s">
        <v>92</v>
      </c>
      <c r="N13" s="12" t="s">
        <v>80</v>
      </c>
      <c r="O13" s="12" t="s">
        <v>77</v>
      </c>
      <c r="P13" s="12"/>
    </row>
    <row r="14">
      <c r="A14" s="8" t="s">
        <v>193</v>
      </c>
      <c r="B14" s="8" t="s">
        <v>39</v>
      </c>
      <c r="C14" s="8" t="s">
        <v>40</v>
      </c>
      <c r="D14" s="11" t="s">
        <v>197</v>
      </c>
      <c r="E14" s="8" t="s">
        <v>198</v>
      </c>
      <c r="F14" s="8" t="s">
        <v>199</v>
      </c>
      <c r="G14" s="8" t="s">
        <v>54</v>
      </c>
      <c r="H14" s="8" t="s">
        <v>48</v>
      </c>
      <c r="I14" s="8" t="s">
        <v>193</v>
      </c>
      <c r="J14" s="8" t="s">
        <v>49</v>
      </c>
      <c r="K14" s="8" t="s">
        <v>31</v>
      </c>
      <c r="L14" s="8" t="s">
        <v>48</v>
      </c>
      <c r="M14" s="12" t="s">
        <v>201</v>
      </c>
      <c r="N14" s="12" t="s">
        <v>80</v>
      </c>
      <c r="O14" s="12" t="s">
        <v>205</v>
      </c>
      <c r="P14" s="12" t="s">
        <v>206</v>
      </c>
    </row>
    <row r="15">
      <c r="A15" s="8" t="s">
        <v>208</v>
      </c>
      <c r="B15" s="8" t="s">
        <v>39</v>
      </c>
      <c r="C15" s="8" t="s">
        <v>40</v>
      </c>
      <c r="D15" s="11" t="s">
        <v>210</v>
      </c>
      <c r="E15" s="8" t="s">
        <v>212</v>
      </c>
      <c r="F15" s="8" t="s">
        <v>215</v>
      </c>
      <c r="G15" s="8" t="s">
        <v>47</v>
      </c>
      <c r="H15" s="8" t="s">
        <v>48</v>
      </c>
      <c r="I15" s="8" t="s">
        <v>208</v>
      </c>
      <c r="J15" s="8" t="s">
        <v>49</v>
      </c>
      <c r="K15" s="8" t="s">
        <v>31</v>
      </c>
      <c r="L15" s="8" t="s">
        <v>48</v>
      </c>
      <c r="M15" s="12" t="s">
        <v>92</v>
      </c>
      <c r="N15" s="12" t="s">
        <v>80</v>
      </c>
      <c r="O15" s="12" t="s">
        <v>160</v>
      </c>
      <c r="P15" s="12"/>
    </row>
    <row r="16">
      <c r="A16" s="8" t="s">
        <v>221</v>
      </c>
      <c r="B16" s="8" t="s">
        <v>39</v>
      </c>
      <c r="C16" s="8" t="s">
        <v>40</v>
      </c>
      <c r="D16" s="11" t="s">
        <v>223</v>
      </c>
      <c r="E16" s="8" t="s">
        <v>224</v>
      </c>
      <c r="F16" s="8" t="s">
        <v>226</v>
      </c>
      <c r="G16" s="8" t="s">
        <v>47</v>
      </c>
      <c r="H16" s="8" t="s">
        <v>48</v>
      </c>
      <c r="I16" s="8" t="s">
        <v>221</v>
      </c>
      <c r="J16" s="8" t="s">
        <v>49</v>
      </c>
      <c r="K16" s="8" t="s">
        <v>31</v>
      </c>
      <c r="L16" s="8" t="s">
        <v>48</v>
      </c>
      <c r="M16" s="12" t="s">
        <v>139</v>
      </c>
      <c r="N16" s="12" t="s">
        <v>80</v>
      </c>
      <c r="O16" s="12" t="s">
        <v>231</v>
      </c>
      <c r="P16" s="12"/>
    </row>
    <row r="17">
      <c r="A17" s="8" t="s">
        <v>233</v>
      </c>
      <c r="B17" s="8" t="s">
        <v>39</v>
      </c>
      <c r="C17" s="8" t="s">
        <v>40</v>
      </c>
      <c r="D17" s="11" t="s">
        <v>235</v>
      </c>
      <c r="E17" s="8" t="s">
        <v>238</v>
      </c>
      <c r="F17" s="8" t="s">
        <v>240</v>
      </c>
      <c r="G17" s="8" t="s">
        <v>47</v>
      </c>
      <c r="H17" s="8" t="s">
        <v>48</v>
      </c>
      <c r="I17" s="8" t="s">
        <v>233</v>
      </c>
      <c r="J17" s="8" t="s">
        <v>49</v>
      </c>
      <c r="K17" s="8" t="s">
        <v>31</v>
      </c>
      <c r="L17" s="8" t="s">
        <v>48</v>
      </c>
      <c r="M17" s="12" t="s">
        <v>92</v>
      </c>
      <c r="N17" s="12" t="s">
        <v>80</v>
      </c>
      <c r="O17" s="12" t="s">
        <v>77</v>
      </c>
      <c r="P17" s="12"/>
    </row>
    <row r="18">
      <c r="A18" s="8" t="s">
        <v>243</v>
      </c>
      <c r="B18" s="8" t="s">
        <v>39</v>
      </c>
      <c r="C18" s="8" t="s">
        <v>40</v>
      </c>
      <c r="D18" s="11" t="s">
        <v>248</v>
      </c>
      <c r="E18" s="8" t="s">
        <v>249</v>
      </c>
      <c r="F18" s="8" t="s">
        <v>251</v>
      </c>
      <c r="G18" s="8" t="s">
        <v>47</v>
      </c>
      <c r="H18" s="8" t="s">
        <v>48</v>
      </c>
      <c r="I18" s="8" t="s">
        <v>243</v>
      </c>
      <c r="J18" s="8" t="s">
        <v>49</v>
      </c>
      <c r="K18" s="8" t="s">
        <v>31</v>
      </c>
      <c r="L18" s="8" t="s">
        <v>48</v>
      </c>
      <c r="M18" s="12" t="s">
        <v>92</v>
      </c>
      <c r="N18" s="12" t="s">
        <v>80</v>
      </c>
      <c r="O18" s="12" t="s">
        <v>151</v>
      </c>
      <c r="P18" s="12"/>
    </row>
    <row r="19">
      <c r="A19" s="8" t="s">
        <v>259</v>
      </c>
      <c r="B19" s="8" t="s">
        <v>39</v>
      </c>
      <c r="C19" s="8" t="s">
        <v>40</v>
      </c>
      <c r="D19" s="11" t="s">
        <v>261</v>
      </c>
      <c r="E19" s="8" t="s">
        <v>262</v>
      </c>
      <c r="F19" s="8" t="s">
        <v>265</v>
      </c>
      <c r="G19" s="8" t="s">
        <v>47</v>
      </c>
      <c r="H19" s="8" t="s">
        <v>48</v>
      </c>
      <c r="I19" s="8" t="s">
        <v>259</v>
      </c>
      <c r="J19" s="8" t="s">
        <v>49</v>
      </c>
      <c r="K19" s="8" t="s">
        <v>32</v>
      </c>
      <c r="L19" s="8" t="s">
        <v>48</v>
      </c>
      <c r="M19" s="12" t="s">
        <v>92</v>
      </c>
      <c r="N19" s="12" t="s">
        <v>80</v>
      </c>
      <c r="O19" s="12" t="s">
        <v>276</v>
      </c>
      <c r="P19" s="12"/>
    </row>
    <row r="20">
      <c r="A20" s="8" t="s">
        <v>278</v>
      </c>
      <c r="B20" s="8" t="s">
        <v>39</v>
      </c>
      <c r="C20" s="8" t="s">
        <v>40</v>
      </c>
      <c r="D20" s="11" t="s">
        <v>281</v>
      </c>
      <c r="E20" s="8" t="s">
        <v>282</v>
      </c>
      <c r="F20" s="8" t="s">
        <v>284</v>
      </c>
      <c r="G20" s="8" t="s">
        <v>47</v>
      </c>
      <c r="H20" s="8" t="s">
        <v>48</v>
      </c>
      <c r="I20" s="8" t="s">
        <v>278</v>
      </c>
      <c r="J20" s="8" t="s">
        <v>49</v>
      </c>
      <c r="K20" s="8" t="s">
        <v>31</v>
      </c>
      <c r="L20" s="8" t="s">
        <v>48</v>
      </c>
      <c r="M20" s="12" t="s">
        <v>92</v>
      </c>
      <c r="N20" s="12" t="s">
        <v>80</v>
      </c>
      <c r="O20" s="12" t="s">
        <v>151</v>
      </c>
      <c r="P20" s="12"/>
    </row>
    <row r="21" ht="15.75" customHeight="1">
      <c r="A21" s="8" t="s">
        <v>292</v>
      </c>
      <c r="B21" s="8" t="s">
        <v>39</v>
      </c>
      <c r="C21" s="8" t="s">
        <v>40</v>
      </c>
      <c r="D21" s="11" t="s">
        <v>294</v>
      </c>
      <c r="E21" s="8" t="s">
        <v>296</v>
      </c>
      <c r="F21" s="8" t="s">
        <v>298</v>
      </c>
      <c r="G21" s="8" t="s">
        <v>47</v>
      </c>
      <c r="H21" s="8" t="s">
        <v>48</v>
      </c>
      <c r="I21" s="8" t="s">
        <v>292</v>
      </c>
      <c r="J21" s="8" t="s">
        <v>49</v>
      </c>
      <c r="K21" s="8" t="s">
        <v>32</v>
      </c>
      <c r="L21" s="8" t="s">
        <v>48</v>
      </c>
      <c r="M21" s="12" t="s">
        <v>92</v>
      </c>
      <c r="N21" s="12" t="s">
        <v>80</v>
      </c>
      <c r="O21" s="12" t="s">
        <v>276</v>
      </c>
      <c r="P21" s="12"/>
    </row>
    <row r="22" ht="15.75" customHeight="1">
      <c r="A22" s="8" t="s">
        <v>305</v>
      </c>
      <c r="B22" s="8" t="s">
        <v>39</v>
      </c>
      <c r="C22" s="8" t="s">
        <v>307</v>
      </c>
      <c r="D22" s="11" t="s">
        <v>310</v>
      </c>
      <c r="E22" s="8" t="s">
        <v>312</v>
      </c>
      <c r="F22" s="8" t="s">
        <v>314</v>
      </c>
      <c r="G22" s="8" t="s">
        <v>47</v>
      </c>
      <c r="H22" s="8" t="s">
        <v>48</v>
      </c>
      <c r="I22" s="8" t="s">
        <v>305</v>
      </c>
      <c r="J22" s="8" t="s">
        <v>49</v>
      </c>
      <c r="K22" s="8" t="s">
        <v>31</v>
      </c>
      <c r="L22" s="8" t="s">
        <v>48</v>
      </c>
      <c r="M22" s="12" t="s">
        <v>92</v>
      </c>
      <c r="N22" s="12" t="s">
        <v>80</v>
      </c>
      <c r="O22" s="12" t="s">
        <v>118</v>
      </c>
      <c r="P22" s="12"/>
    </row>
    <row r="23" ht="15.75" customHeight="1">
      <c r="A23" s="8" t="s">
        <v>322</v>
      </c>
      <c r="B23" s="8" t="s">
        <v>39</v>
      </c>
      <c r="C23" s="8" t="s">
        <v>40</v>
      </c>
      <c r="D23" s="11" t="s">
        <v>327</v>
      </c>
      <c r="E23" s="8" t="s">
        <v>330</v>
      </c>
      <c r="F23" s="8" t="s">
        <v>332</v>
      </c>
      <c r="G23" s="8" t="s">
        <v>47</v>
      </c>
      <c r="H23" s="8" t="s">
        <v>48</v>
      </c>
      <c r="I23" s="8" t="s">
        <v>322</v>
      </c>
      <c r="J23" s="8" t="s">
        <v>49</v>
      </c>
      <c r="K23" s="8" t="s">
        <v>31</v>
      </c>
      <c r="L23" s="8" t="s">
        <v>48</v>
      </c>
      <c r="M23" s="12" t="s">
        <v>201</v>
      </c>
      <c r="N23" s="12" t="s">
        <v>80</v>
      </c>
      <c r="O23" s="12" t="s">
        <v>336</v>
      </c>
      <c r="P23" s="12"/>
    </row>
    <row r="24" ht="15.75" customHeight="1">
      <c r="A24" s="8" t="s">
        <v>340</v>
      </c>
      <c r="B24" s="8" t="s">
        <v>39</v>
      </c>
      <c r="C24" s="8" t="s">
        <v>40</v>
      </c>
      <c r="D24" s="11" t="s">
        <v>345</v>
      </c>
      <c r="E24" s="8" t="s">
        <v>347</v>
      </c>
      <c r="F24" s="8" t="s">
        <v>350</v>
      </c>
      <c r="G24" s="8" t="s">
        <v>344</v>
      </c>
      <c r="H24" s="8" t="s">
        <v>48</v>
      </c>
      <c r="I24" s="8" t="s">
        <v>340</v>
      </c>
      <c r="J24" s="8" t="s">
        <v>49</v>
      </c>
      <c r="K24" s="8" t="s">
        <v>31</v>
      </c>
      <c r="L24" s="8" t="s">
        <v>48</v>
      </c>
      <c r="M24" s="12" t="s">
        <v>357</v>
      </c>
      <c r="N24" s="12" t="s">
        <v>80</v>
      </c>
      <c r="O24" s="12" t="s">
        <v>77</v>
      </c>
      <c r="P24" s="12" t="s">
        <v>361</v>
      </c>
    </row>
    <row r="25" ht="15.75" customHeight="1">
      <c r="A25" s="8" t="s">
        <v>362</v>
      </c>
      <c r="B25" s="8" t="s">
        <v>39</v>
      </c>
      <c r="C25" s="8" t="s">
        <v>40</v>
      </c>
      <c r="D25" s="11" t="s">
        <v>366</v>
      </c>
      <c r="E25" s="8" t="s">
        <v>369</v>
      </c>
      <c r="F25" s="8" t="s">
        <v>371</v>
      </c>
      <c r="G25" s="8" t="s">
        <v>47</v>
      </c>
      <c r="H25" s="8" t="s">
        <v>48</v>
      </c>
      <c r="I25" s="8" t="s">
        <v>362</v>
      </c>
      <c r="J25" s="8" t="s">
        <v>49</v>
      </c>
      <c r="K25" s="8" t="s">
        <v>31</v>
      </c>
      <c r="L25" s="8" t="s">
        <v>48</v>
      </c>
      <c r="M25" s="12" t="s">
        <v>376</v>
      </c>
      <c r="N25" s="12" t="s">
        <v>80</v>
      </c>
      <c r="O25" s="12" t="s">
        <v>77</v>
      </c>
      <c r="P25" s="12"/>
    </row>
    <row r="26" ht="15.75" customHeight="1">
      <c r="A26" s="8" t="s">
        <v>380</v>
      </c>
      <c r="B26" s="8" t="s">
        <v>39</v>
      </c>
      <c r="C26" s="8" t="s">
        <v>40</v>
      </c>
      <c r="D26" s="11" t="s">
        <v>385</v>
      </c>
      <c r="E26" s="8" t="s">
        <v>386</v>
      </c>
      <c r="F26" s="8" t="s">
        <v>388</v>
      </c>
      <c r="G26" s="8" t="s">
        <v>54</v>
      </c>
      <c r="H26" s="8" t="s">
        <v>48</v>
      </c>
      <c r="I26" s="8" t="s">
        <v>380</v>
      </c>
      <c r="J26" s="8" t="s">
        <v>49</v>
      </c>
      <c r="K26" s="8" t="s">
        <v>31</v>
      </c>
      <c r="L26" s="8" t="s">
        <v>48</v>
      </c>
      <c r="M26" s="12" t="s">
        <v>92</v>
      </c>
      <c r="N26" s="12" t="s">
        <v>80</v>
      </c>
      <c r="O26" s="12" t="s">
        <v>412</v>
      </c>
      <c r="P26" s="12"/>
    </row>
    <row r="27" ht="15.75" customHeight="1">
      <c r="A27" s="8" t="s">
        <v>414</v>
      </c>
      <c r="B27" s="8" t="s">
        <v>39</v>
      </c>
      <c r="C27" s="8" t="s">
        <v>40</v>
      </c>
      <c r="D27" s="11" t="s">
        <v>417</v>
      </c>
      <c r="E27" s="8" t="s">
        <v>419</v>
      </c>
      <c r="F27" s="8" t="s">
        <v>421</v>
      </c>
      <c r="G27" s="8" t="s">
        <v>47</v>
      </c>
      <c r="H27" s="8" t="s">
        <v>48</v>
      </c>
      <c r="I27" s="8" t="s">
        <v>414</v>
      </c>
      <c r="J27" s="8" t="s">
        <v>49</v>
      </c>
      <c r="K27" s="8" t="s">
        <v>31</v>
      </c>
      <c r="L27" s="8" t="s">
        <v>48</v>
      </c>
      <c r="M27" s="12" t="s">
        <v>92</v>
      </c>
      <c r="N27" s="12" t="s">
        <v>80</v>
      </c>
      <c r="O27" s="12" t="s">
        <v>77</v>
      </c>
      <c r="P27" s="12"/>
    </row>
    <row r="28" ht="15.75" customHeight="1">
      <c r="A28" s="8" t="s">
        <v>438</v>
      </c>
      <c r="B28" s="8" t="s">
        <v>39</v>
      </c>
      <c r="C28" s="8" t="s">
        <v>40</v>
      </c>
      <c r="D28" s="11" t="s">
        <v>443</v>
      </c>
      <c r="E28" s="8" t="s">
        <v>445</v>
      </c>
      <c r="F28" s="8" t="s">
        <v>446</v>
      </c>
      <c r="G28" s="8" t="s">
        <v>47</v>
      </c>
      <c r="H28" s="8" t="s">
        <v>48</v>
      </c>
      <c r="I28" s="8" t="s">
        <v>438</v>
      </c>
      <c r="J28" s="8" t="s">
        <v>49</v>
      </c>
      <c r="K28" s="8" t="s">
        <v>31</v>
      </c>
      <c r="L28" s="8" t="s">
        <v>48</v>
      </c>
      <c r="M28" s="12" t="s">
        <v>201</v>
      </c>
      <c r="N28" s="12" t="s">
        <v>80</v>
      </c>
      <c r="O28" s="12" t="s">
        <v>77</v>
      </c>
      <c r="P28" s="12"/>
    </row>
    <row r="29" ht="15.75" customHeight="1">
      <c r="A29" s="8" t="s">
        <v>454</v>
      </c>
      <c r="B29" s="8" t="s">
        <v>39</v>
      </c>
      <c r="C29" s="8" t="s">
        <v>40</v>
      </c>
      <c r="D29" s="11" t="s">
        <v>459</v>
      </c>
      <c r="E29" s="8" t="s">
        <v>461</v>
      </c>
      <c r="F29" s="8" t="s">
        <v>464</v>
      </c>
      <c r="G29" s="8" t="s">
        <v>47</v>
      </c>
      <c r="H29" s="8" t="s">
        <v>48</v>
      </c>
      <c r="I29" s="8" t="s">
        <v>454</v>
      </c>
      <c r="J29" s="8" t="s">
        <v>49</v>
      </c>
      <c r="K29" s="8" t="s">
        <v>31</v>
      </c>
      <c r="L29" s="8" t="s">
        <v>48</v>
      </c>
      <c r="M29" s="12" t="s">
        <v>92</v>
      </c>
      <c r="N29" s="12" t="s">
        <v>80</v>
      </c>
      <c r="O29" s="12" t="s">
        <v>412</v>
      </c>
      <c r="P29" s="12"/>
    </row>
    <row r="30" ht="15.75" customHeight="1">
      <c r="A30" s="8" t="s">
        <v>471</v>
      </c>
      <c r="B30" s="8" t="s">
        <v>39</v>
      </c>
      <c r="C30" s="8" t="s">
        <v>40</v>
      </c>
      <c r="D30" s="11" t="s">
        <v>475</v>
      </c>
      <c r="E30" s="8" t="s">
        <v>476</v>
      </c>
      <c r="F30" s="8" t="s">
        <v>477</v>
      </c>
      <c r="G30" s="8" t="s">
        <v>54</v>
      </c>
      <c r="H30" s="8" t="s">
        <v>48</v>
      </c>
      <c r="I30" s="8" t="s">
        <v>471</v>
      </c>
      <c r="J30" s="8" t="s">
        <v>49</v>
      </c>
      <c r="K30" s="8" t="s">
        <v>31</v>
      </c>
      <c r="L30" s="8" t="s">
        <v>48</v>
      </c>
      <c r="M30" s="12" t="s">
        <v>92</v>
      </c>
      <c r="N30" s="12" t="s">
        <v>80</v>
      </c>
      <c r="O30" s="12" t="s">
        <v>118</v>
      </c>
      <c r="P30" s="12"/>
    </row>
    <row r="31" ht="15.75" customHeight="1">
      <c r="A31" s="8" t="s">
        <v>485</v>
      </c>
      <c r="B31" s="8" t="s">
        <v>39</v>
      </c>
      <c r="C31" s="8" t="s">
        <v>40</v>
      </c>
      <c r="D31" s="11" t="s">
        <v>491</v>
      </c>
      <c r="E31" s="8" t="s">
        <v>492</v>
      </c>
      <c r="F31" s="8" t="s">
        <v>493</v>
      </c>
      <c r="G31" s="8" t="s">
        <v>47</v>
      </c>
      <c r="H31" s="8" t="s">
        <v>48</v>
      </c>
      <c r="I31" s="8" t="s">
        <v>485</v>
      </c>
      <c r="J31" s="8" t="s">
        <v>49</v>
      </c>
      <c r="K31" s="8" t="s">
        <v>31</v>
      </c>
      <c r="L31" s="8" t="s">
        <v>48</v>
      </c>
      <c r="M31" s="12" t="s">
        <v>139</v>
      </c>
      <c r="N31" s="12" t="s">
        <v>80</v>
      </c>
      <c r="O31" s="12" t="s">
        <v>77</v>
      </c>
      <c r="P31" s="12"/>
    </row>
    <row r="32" ht="15.75" customHeight="1">
      <c r="A32" s="8" t="s">
        <v>502</v>
      </c>
      <c r="B32" s="8" t="s">
        <v>39</v>
      </c>
      <c r="C32" s="8" t="s">
        <v>40</v>
      </c>
      <c r="D32" s="11" t="s">
        <v>507</v>
      </c>
      <c r="E32" s="8" t="s">
        <v>509</v>
      </c>
      <c r="F32" s="8" t="s">
        <v>510</v>
      </c>
      <c r="G32" s="8" t="s">
        <v>47</v>
      </c>
      <c r="H32" s="8" t="s">
        <v>48</v>
      </c>
      <c r="I32" s="8" t="s">
        <v>502</v>
      </c>
      <c r="J32" s="8" t="s">
        <v>49</v>
      </c>
      <c r="K32" s="8" t="s">
        <v>31</v>
      </c>
      <c r="L32" s="8" t="s">
        <v>48</v>
      </c>
      <c r="M32" s="12" t="s">
        <v>92</v>
      </c>
      <c r="N32" s="12" t="s">
        <v>80</v>
      </c>
      <c r="O32" s="12" t="s">
        <v>109</v>
      </c>
      <c r="P32" s="12"/>
    </row>
    <row r="33" ht="15.75" customHeight="1">
      <c r="A33" s="8" t="s">
        <v>517</v>
      </c>
      <c r="B33" s="8" t="s">
        <v>39</v>
      </c>
      <c r="C33" s="8" t="s">
        <v>40</v>
      </c>
      <c r="D33" s="11" t="s">
        <v>518</v>
      </c>
      <c r="E33" s="8" t="s">
        <v>520</v>
      </c>
      <c r="F33" s="8" t="s">
        <v>521</v>
      </c>
      <c r="G33" s="8" t="s">
        <v>47</v>
      </c>
      <c r="H33" s="8" t="s">
        <v>48</v>
      </c>
      <c r="I33" s="8" t="s">
        <v>517</v>
      </c>
      <c r="J33" s="8" t="s">
        <v>49</v>
      </c>
      <c r="K33" s="8" t="s">
        <v>31</v>
      </c>
      <c r="L33" s="8" t="s">
        <v>48</v>
      </c>
      <c r="M33" s="12" t="s">
        <v>92</v>
      </c>
      <c r="N33" s="12" t="s">
        <v>80</v>
      </c>
      <c r="O33" s="12" t="s">
        <v>77</v>
      </c>
      <c r="P33" s="12"/>
    </row>
    <row r="34" ht="15.75" customHeight="1">
      <c r="A34" s="8" t="s">
        <v>529</v>
      </c>
      <c r="B34" s="8" t="s">
        <v>39</v>
      </c>
      <c r="C34" s="8" t="s">
        <v>250</v>
      </c>
      <c r="D34" s="11" t="s">
        <v>531</v>
      </c>
      <c r="E34" s="8" t="s">
        <v>533</v>
      </c>
      <c r="F34" s="8" t="s">
        <v>535</v>
      </c>
      <c r="G34" s="8" t="s">
        <v>54</v>
      </c>
      <c r="H34" s="8" t="s">
        <v>48</v>
      </c>
      <c r="I34" s="8" t="s">
        <v>529</v>
      </c>
      <c r="J34" s="8" t="s">
        <v>49</v>
      </c>
      <c r="K34" s="8" t="s">
        <v>32</v>
      </c>
      <c r="L34" s="8" t="s">
        <v>48</v>
      </c>
      <c r="M34" s="12" t="s">
        <v>540</v>
      </c>
      <c r="N34" s="12" t="s">
        <v>542</v>
      </c>
      <c r="O34" s="12" t="s">
        <v>530</v>
      </c>
      <c r="P34" s="12"/>
    </row>
    <row r="35" ht="15.75" customHeight="1">
      <c r="A35" s="8" t="s">
        <v>546</v>
      </c>
      <c r="B35" s="8" t="s">
        <v>39</v>
      </c>
      <c r="C35" s="8" t="s">
        <v>40</v>
      </c>
      <c r="D35" s="11" t="s">
        <v>549</v>
      </c>
      <c r="E35" s="8" t="s">
        <v>550</v>
      </c>
      <c r="F35" s="8" t="s">
        <v>551</v>
      </c>
      <c r="G35" s="8" t="s">
        <v>47</v>
      </c>
      <c r="H35" s="8" t="s">
        <v>48</v>
      </c>
      <c r="I35" s="8" t="s">
        <v>546</v>
      </c>
      <c r="J35" s="8" t="s">
        <v>49</v>
      </c>
      <c r="K35" s="8" t="s">
        <v>31</v>
      </c>
      <c r="L35" s="8" t="s">
        <v>48</v>
      </c>
      <c r="M35" s="12" t="s">
        <v>92</v>
      </c>
      <c r="N35" s="12" t="s">
        <v>80</v>
      </c>
      <c r="O35" s="12" t="s">
        <v>559</v>
      </c>
      <c r="P35" s="12"/>
    </row>
    <row r="36" ht="15.75" customHeight="1">
      <c r="A36" s="8" t="s">
        <v>562</v>
      </c>
      <c r="B36" s="8" t="s">
        <v>39</v>
      </c>
      <c r="C36" s="8" t="s">
        <v>40</v>
      </c>
      <c r="D36" s="11" t="s">
        <v>565</v>
      </c>
      <c r="E36" s="8" t="s">
        <v>567</v>
      </c>
      <c r="F36" s="8" t="s">
        <v>569</v>
      </c>
      <c r="G36" s="8" t="s">
        <v>47</v>
      </c>
      <c r="H36" s="8" t="s">
        <v>48</v>
      </c>
      <c r="I36" s="8" t="s">
        <v>562</v>
      </c>
      <c r="J36" s="8" t="s">
        <v>49</v>
      </c>
      <c r="K36" s="8" t="s">
        <v>31</v>
      </c>
      <c r="L36" s="8" t="s">
        <v>48</v>
      </c>
      <c r="M36" s="12" t="s">
        <v>92</v>
      </c>
      <c r="N36" s="12" t="s">
        <v>80</v>
      </c>
      <c r="O36" s="12" t="s">
        <v>151</v>
      </c>
      <c r="P36" s="12"/>
    </row>
    <row r="37" ht="15.75" customHeight="1">
      <c r="A37" s="8" t="s">
        <v>578</v>
      </c>
      <c r="B37" s="8" t="s">
        <v>39</v>
      </c>
      <c r="C37" s="8" t="s">
        <v>40</v>
      </c>
      <c r="D37" s="11" t="s">
        <v>579</v>
      </c>
      <c r="E37" s="8" t="s">
        <v>581</v>
      </c>
      <c r="F37" s="8" t="s">
        <v>582</v>
      </c>
      <c r="G37" s="8" t="s">
        <v>117</v>
      </c>
      <c r="H37" s="8" t="s">
        <v>48</v>
      </c>
      <c r="I37" s="8" t="s">
        <v>578</v>
      </c>
      <c r="J37" s="8" t="s">
        <v>49</v>
      </c>
      <c r="K37" s="8" t="s">
        <v>31</v>
      </c>
      <c r="L37" s="8" t="s">
        <v>48</v>
      </c>
      <c r="M37" s="12" t="s">
        <v>588</v>
      </c>
      <c r="N37" s="12" t="s">
        <v>542</v>
      </c>
      <c r="O37" s="12" t="s">
        <v>591</v>
      </c>
      <c r="P37" s="12"/>
    </row>
    <row r="38" ht="15.75" customHeight="1">
      <c r="A38" s="8" t="s">
        <v>593</v>
      </c>
      <c r="B38" s="8" t="s">
        <v>39</v>
      </c>
      <c r="C38" s="8" t="s">
        <v>40</v>
      </c>
      <c r="D38" s="11" t="s">
        <v>595</v>
      </c>
      <c r="E38" s="8" t="s">
        <v>596</v>
      </c>
      <c r="F38" s="8" t="s">
        <v>598</v>
      </c>
      <c r="G38" s="8" t="s">
        <v>47</v>
      </c>
      <c r="H38" s="8" t="s">
        <v>48</v>
      </c>
      <c r="I38" s="8" t="s">
        <v>593</v>
      </c>
      <c r="J38" s="8" t="s">
        <v>49</v>
      </c>
      <c r="K38" s="8" t="s">
        <v>31</v>
      </c>
      <c r="L38" s="8" t="s">
        <v>48</v>
      </c>
      <c r="M38" s="12" t="s">
        <v>79</v>
      </c>
      <c r="N38" s="12" t="s">
        <v>80</v>
      </c>
      <c r="O38" s="12" t="s">
        <v>77</v>
      </c>
      <c r="P38" s="12"/>
    </row>
    <row r="39" ht="15.75" customHeight="1">
      <c r="A39" s="8" t="s">
        <v>607</v>
      </c>
      <c r="B39" s="8" t="s">
        <v>39</v>
      </c>
      <c r="C39" s="8" t="s">
        <v>40</v>
      </c>
      <c r="D39" s="11" t="s">
        <v>608</v>
      </c>
      <c r="E39" s="8" t="s">
        <v>609</v>
      </c>
      <c r="F39" s="8" t="s">
        <v>612</v>
      </c>
      <c r="G39" s="8" t="s">
        <v>613</v>
      </c>
      <c r="H39" s="8" t="s">
        <v>48</v>
      </c>
      <c r="I39" s="8" t="s">
        <v>607</v>
      </c>
      <c r="J39" s="8" t="s">
        <v>49</v>
      </c>
      <c r="K39" s="8" t="s">
        <v>31</v>
      </c>
      <c r="L39" s="8" t="s">
        <v>48</v>
      </c>
      <c r="M39" s="12" t="s">
        <v>92</v>
      </c>
      <c r="N39" s="12" t="s">
        <v>80</v>
      </c>
      <c r="O39" s="12" t="s">
        <v>620</v>
      </c>
      <c r="P39" s="12"/>
    </row>
    <row r="40" ht="15.75" customHeight="1">
      <c r="A40" s="8" t="s">
        <v>622</v>
      </c>
      <c r="B40" s="8" t="s">
        <v>39</v>
      </c>
      <c r="C40" s="8" t="s">
        <v>40</v>
      </c>
      <c r="D40" s="11" t="s">
        <v>625</v>
      </c>
      <c r="E40" s="8" t="s">
        <v>626</v>
      </c>
      <c r="F40" s="8" t="s">
        <v>628</v>
      </c>
      <c r="G40" s="8" t="s">
        <v>54</v>
      </c>
      <c r="H40" s="8" t="s">
        <v>48</v>
      </c>
      <c r="I40" s="8" t="s">
        <v>622</v>
      </c>
      <c r="J40" s="8" t="s">
        <v>49</v>
      </c>
      <c r="K40" s="8" t="s">
        <v>31</v>
      </c>
      <c r="L40" s="8" t="s">
        <v>48</v>
      </c>
      <c r="M40" s="12" t="s">
        <v>92</v>
      </c>
      <c r="N40" s="12" t="s">
        <v>80</v>
      </c>
      <c r="O40" s="12" t="s">
        <v>118</v>
      </c>
      <c r="P40" s="12"/>
    </row>
    <row r="41" ht="15.75" customHeight="1">
      <c r="A41" s="8" t="s">
        <v>636</v>
      </c>
      <c r="B41" s="8" t="s">
        <v>39</v>
      </c>
      <c r="C41" s="8" t="s">
        <v>40</v>
      </c>
      <c r="D41" s="11" t="s">
        <v>638</v>
      </c>
      <c r="E41" s="8" t="s">
        <v>641</v>
      </c>
      <c r="F41" s="8" t="s">
        <v>643</v>
      </c>
      <c r="G41" s="8" t="s">
        <v>47</v>
      </c>
      <c r="H41" s="8" t="s">
        <v>48</v>
      </c>
      <c r="I41" s="8" t="s">
        <v>636</v>
      </c>
      <c r="J41" s="8" t="s">
        <v>49</v>
      </c>
      <c r="K41" s="8" t="s">
        <v>31</v>
      </c>
      <c r="L41" s="8" t="s">
        <v>48</v>
      </c>
      <c r="M41" s="12" t="s">
        <v>92</v>
      </c>
      <c r="N41" s="12" t="s">
        <v>80</v>
      </c>
      <c r="O41" s="12" t="s">
        <v>118</v>
      </c>
      <c r="P41" s="12"/>
    </row>
    <row r="42" ht="15.75" customHeight="1">
      <c r="A42" s="8" t="s">
        <v>651</v>
      </c>
      <c r="B42" s="8" t="s">
        <v>39</v>
      </c>
      <c r="C42" s="8" t="s">
        <v>40</v>
      </c>
      <c r="D42" s="11" t="s">
        <v>656</v>
      </c>
      <c r="E42" s="8" t="s">
        <v>657</v>
      </c>
      <c r="F42" s="8" t="s">
        <v>659</v>
      </c>
      <c r="G42" s="8" t="s">
        <v>47</v>
      </c>
      <c r="H42" s="8" t="s">
        <v>48</v>
      </c>
      <c r="I42" s="8" t="s">
        <v>651</v>
      </c>
      <c r="J42" s="8" t="s">
        <v>49</v>
      </c>
      <c r="K42" s="8" t="s">
        <v>31</v>
      </c>
      <c r="L42" s="8" t="s">
        <v>48</v>
      </c>
      <c r="M42" s="12" t="s">
        <v>92</v>
      </c>
      <c r="N42" s="12" t="s">
        <v>80</v>
      </c>
      <c r="O42" s="12" t="s">
        <v>118</v>
      </c>
      <c r="P42" s="12"/>
    </row>
    <row r="43" ht="15.75" customHeight="1">
      <c r="A43" s="8" t="s">
        <v>664</v>
      </c>
      <c r="B43" s="8" t="s">
        <v>39</v>
      </c>
      <c r="C43" s="8" t="s">
        <v>40</v>
      </c>
      <c r="D43" s="11" t="s">
        <v>668</v>
      </c>
      <c r="E43" s="8" t="s">
        <v>669</v>
      </c>
      <c r="F43" s="8" t="s">
        <v>670</v>
      </c>
      <c r="G43" s="8" t="s">
        <v>47</v>
      </c>
      <c r="H43" s="8" t="s">
        <v>48</v>
      </c>
      <c r="I43" s="8" t="s">
        <v>664</v>
      </c>
      <c r="J43" s="8" t="s">
        <v>49</v>
      </c>
      <c r="K43" s="8" t="s">
        <v>31</v>
      </c>
      <c r="L43" s="8" t="s">
        <v>48</v>
      </c>
      <c r="M43" s="12" t="s">
        <v>92</v>
      </c>
      <c r="N43" s="12" t="s">
        <v>80</v>
      </c>
      <c r="O43" s="12" t="s">
        <v>674</v>
      </c>
      <c r="P43" s="12"/>
    </row>
    <row r="44" ht="15.75" customHeight="1">
      <c r="A44" s="8" t="s">
        <v>677</v>
      </c>
      <c r="B44" s="8" t="s">
        <v>39</v>
      </c>
      <c r="C44" s="8" t="s">
        <v>40</v>
      </c>
      <c r="D44" s="11" t="s">
        <v>679</v>
      </c>
      <c r="E44" s="8" t="s">
        <v>680</v>
      </c>
      <c r="F44" s="8" t="s">
        <v>681</v>
      </c>
      <c r="G44" s="8" t="s">
        <v>272</v>
      </c>
      <c r="H44" s="8" t="s">
        <v>48</v>
      </c>
      <c r="I44" s="8" t="s">
        <v>677</v>
      </c>
      <c r="J44" s="8" t="s">
        <v>49</v>
      </c>
      <c r="K44" s="8" t="s">
        <v>31</v>
      </c>
      <c r="L44" s="8" t="s">
        <v>48</v>
      </c>
      <c r="M44" s="12" t="s">
        <v>92</v>
      </c>
      <c r="N44" s="12" t="s">
        <v>80</v>
      </c>
      <c r="O44" s="12" t="s">
        <v>685</v>
      </c>
      <c r="P44" s="12"/>
    </row>
    <row r="45" ht="15.75" customHeight="1">
      <c r="A45" s="8" t="s">
        <v>689</v>
      </c>
      <c r="B45" s="8" t="s">
        <v>39</v>
      </c>
      <c r="C45" s="8" t="s">
        <v>379</v>
      </c>
      <c r="D45" s="11" t="s">
        <v>690</v>
      </c>
      <c r="E45" s="8" t="s">
        <v>692</v>
      </c>
      <c r="F45" s="8" t="s">
        <v>693</v>
      </c>
      <c r="G45" s="8" t="s">
        <v>47</v>
      </c>
      <c r="H45" s="8" t="s">
        <v>48</v>
      </c>
      <c r="I45" s="8" t="s">
        <v>689</v>
      </c>
      <c r="J45" s="8" t="s">
        <v>49</v>
      </c>
      <c r="K45" s="8" t="s">
        <v>31</v>
      </c>
      <c r="L45" s="8" t="s">
        <v>48</v>
      </c>
      <c r="M45" s="12" t="s">
        <v>698</v>
      </c>
      <c r="N45" s="12" t="s">
        <v>699</v>
      </c>
      <c r="O45" s="12" t="s">
        <v>700</v>
      </c>
      <c r="P45" s="12"/>
    </row>
    <row r="46" ht="15.75" customHeight="1">
      <c r="A46" s="8" t="s">
        <v>702</v>
      </c>
      <c r="B46" s="8" t="s">
        <v>39</v>
      </c>
      <c r="C46" s="8" t="s">
        <v>307</v>
      </c>
      <c r="D46" s="11" t="s">
        <v>705</v>
      </c>
      <c r="E46" s="8" t="s">
        <v>707</v>
      </c>
      <c r="F46" s="8" t="s">
        <v>709</v>
      </c>
      <c r="G46" s="8" t="s">
        <v>47</v>
      </c>
      <c r="H46" s="8" t="s">
        <v>48</v>
      </c>
      <c r="I46" s="8" t="s">
        <v>702</v>
      </c>
      <c r="J46" s="8" t="s">
        <v>49</v>
      </c>
      <c r="K46" s="8" t="s">
        <v>31</v>
      </c>
      <c r="L46" s="8" t="s">
        <v>48</v>
      </c>
      <c r="M46" s="12" t="s">
        <v>711</v>
      </c>
      <c r="N46" s="12" t="s">
        <v>391</v>
      </c>
      <c r="O46" s="12" t="s">
        <v>58</v>
      </c>
      <c r="P46" s="12"/>
    </row>
    <row r="47" ht="15.75" customHeight="1">
      <c r="A47" s="8" t="s">
        <v>713</v>
      </c>
      <c r="B47" s="8" t="s">
        <v>39</v>
      </c>
      <c r="C47" s="8" t="s">
        <v>40</v>
      </c>
      <c r="D47" s="11" t="s">
        <v>715</v>
      </c>
      <c r="E47" s="8" t="s">
        <v>716</v>
      </c>
      <c r="F47" s="8" t="s">
        <v>717</v>
      </c>
      <c r="G47" s="8" t="s">
        <v>47</v>
      </c>
      <c r="H47" s="8" t="s">
        <v>48</v>
      </c>
      <c r="I47" s="8" t="s">
        <v>713</v>
      </c>
      <c r="J47" s="8" t="s">
        <v>49</v>
      </c>
      <c r="K47" s="8" t="s">
        <v>31</v>
      </c>
      <c r="L47" s="8" t="s">
        <v>48</v>
      </c>
      <c r="M47" s="12" t="s">
        <v>92</v>
      </c>
      <c r="N47" s="12" t="s">
        <v>80</v>
      </c>
      <c r="O47" s="12" t="s">
        <v>721</v>
      </c>
      <c r="P47" s="12"/>
    </row>
    <row r="48" ht="15.75" customHeight="1">
      <c r="A48" s="8" t="s">
        <v>723</v>
      </c>
      <c r="B48" s="8" t="s">
        <v>39</v>
      </c>
      <c r="C48" s="8" t="s">
        <v>40</v>
      </c>
      <c r="D48" s="11" t="s">
        <v>724</v>
      </c>
      <c r="E48" s="8" t="s">
        <v>725</v>
      </c>
      <c r="F48" s="8" t="s">
        <v>726</v>
      </c>
      <c r="G48" s="8" t="s">
        <v>47</v>
      </c>
      <c r="H48" s="8" t="s">
        <v>48</v>
      </c>
      <c r="I48" s="8" t="s">
        <v>723</v>
      </c>
      <c r="J48" s="8" t="s">
        <v>49</v>
      </c>
      <c r="K48" s="8" t="s">
        <v>31</v>
      </c>
      <c r="L48" s="8" t="s">
        <v>48</v>
      </c>
      <c r="M48" s="12" t="s">
        <v>139</v>
      </c>
      <c r="N48" s="12" t="s">
        <v>80</v>
      </c>
      <c r="O48" s="12" t="s">
        <v>77</v>
      </c>
      <c r="P48" s="12"/>
    </row>
    <row r="49" ht="15.75" customHeight="1">
      <c r="A49" s="8" t="s">
        <v>731</v>
      </c>
      <c r="B49" s="8" t="s">
        <v>39</v>
      </c>
      <c r="C49" s="8" t="s">
        <v>40</v>
      </c>
      <c r="D49" s="11" t="s">
        <v>733</v>
      </c>
      <c r="E49" s="8" t="s">
        <v>734</v>
      </c>
      <c r="F49" s="8" t="s">
        <v>736</v>
      </c>
      <c r="G49" s="8" t="s">
        <v>47</v>
      </c>
      <c r="H49" s="8" t="s">
        <v>48</v>
      </c>
      <c r="I49" s="8" t="s">
        <v>731</v>
      </c>
      <c r="J49" s="8" t="s">
        <v>49</v>
      </c>
      <c r="K49" s="8" t="s">
        <v>31</v>
      </c>
      <c r="L49" s="8" t="s">
        <v>48</v>
      </c>
      <c r="M49" s="12" t="s">
        <v>92</v>
      </c>
      <c r="N49" s="12" t="s">
        <v>80</v>
      </c>
      <c r="O49" s="12" t="s">
        <v>267</v>
      </c>
      <c r="P49" s="12"/>
    </row>
    <row r="50" ht="15.75" customHeight="1">
      <c r="A50" s="8" t="s">
        <v>743</v>
      </c>
      <c r="B50" s="8" t="s">
        <v>39</v>
      </c>
      <c r="C50" s="8" t="s">
        <v>40</v>
      </c>
      <c r="D50" s="11" t="s">
        <v>744</v>
      </c>
      <c r="E50" s="8" t="s">
        <v>745</v>
      </c>
      <c r="F50" s="8" t="s">
        <v>747</v>
      </c>
      <c r="G50" s="8" t="s">
        <v>47</v>
      </c>
      <c r="H50" s="8" t="s">
        <v>48</v>
      </c>
      <c r="I50" s="8" t="s">
        <v>743</v>
      </c>
      <c r="J50" s="8" t="s">
        <v>49</v>
      </c>
      <c r="K50" s="8" t="s">
        <v>31</v>
      </c>
      <c r="L50" s="8" t="s">
        <v>48</v>
      </c>
      <c r="M50" s="12" t="s">
        <v>92</v>
      </c>
      <c r="N50" s="12" t="s">
        <v>80</v>
      </c>
      <c r="O50" s="12" t="s">
        <v>591</v>
      </c>
      <c r="P50" s="12"/>
    </row>
    <row r="51" ht="15.75" customHeight="1">
      <c r="A51" s="8" t="s">
        <v>752</v>
      </c>
      <c r="B51" s="8" t="s">
        <v>39</v>
      </c>
      <c r="C51" s="8" t="s">
        <v>40</v>
      </c>
      <c r="D51" s="11" t="s">
        <v>754</v>
      </c>
      <c r="E51" s="8" t="s">
        <v>755</v>
      </c>
      <c r="F51" s="8" t="s">
        <v>756</v>
      </c>
      <c r="G51" s="8" t="s">
        <v>47</v>
      </c>
      <c r="H51" s="8" t="s">
        <v>48</v>
      </c>
      <c r="I51" s="8" t="s">
        <v>752</v>
      </c>
      <c r="J51" s="8" t="s">
        <v>49</v>
      </c>
      <c r="K51" s="8" t="s">
        <v>31</v>
      </c>
      <c r="L51" s="8" t="s">
        <v>48</v>
      </c>
      <c r="M51" s="12" t="s">
        <v>92</v>
      </c>
      <c r="N51" s="12" t="s">
        <v>80</v>
      </c>
      <c r="O51" s="12" t="s">
        <v>761</v>
      </c>
      <c r="P51" s="12"/>
    </row>
    <row r="52" ht="15.75" customHeight="1">
      <c r="A52" s="8" t="s">
        <v>762</v>
      </c>
      <c r="B52" s="8" t="s">
        <v>39</v>
      </c>
      <c r="C52" s="8" t="s">
        <v>40</v>
      </c>
      <c r="D52" s="11" t="s">
        <v>763</v>
      </c>
      <c r="E52" s="8" t="s">
        <v>765</v>
      </c>
      <c r="F52" s="8" t="s">
        <v>767</v>
      </c>
      <c r="G52" s="8" t="s">
        <v>54</v>
      </c>
      <c r="H52" s="8" t="s">
        <v>48</v>
      </c>
      <c r="I52" s="8" t="s">
        <v>762</v>
      </c>
      <c r="J52" s="8" t="s">
        <v>49</v>
      </c>
      <c r="K52" s="8" t="s">
        <v>31</v>
      </c>
      <c r="L52" s="8" t="s">
        <v>48</v>
      </c>
      <c r="M52" s="12" t="s">
        <v>79</v>
      </c>
      <c r="N52" s="12" t="s">
        <v>80</v>
      </c>
      <c r="O52" s="12" t="s">
        <v>280</v>
      </c>
      <c r="P52" s="12" t="s">
        <v>775</v>
      </c>
    </row>
    <row r="53" ht="15.75" customHeight="1">
      <c r="A53" s="8" t="s">
        <v>781</v>
      </c>
      <c r="B53" s="8" t="s">
        <v>39</v>
      </c>
      <c r="C53" s="8" t="s">
        <v>40</v>
      </c>
      <c r="D53" s="11" t="s">
        <v>785</v>
      </c>
      <c r="E53" s="8" t="s">
        <v>786</v>
      </c>
      <c r="F53" s="8" t="s">
        <v>788</v>
      </c>
      <c r="G53" s="8" t="s">
        <v>54</v>
      </c>
      <c r="H53" s="8" t="s">
        <v>48</v>
      </c>
      <c r="I53" s="8" t="s">
        <v>781</v>
      </c>
      <c r="J53" s="8" t="s">
        <v>49</v>
      </c>
      <c r="K53" s="8" t="s">
        <v>31</v>
      </c>
      <c r="L53" s="8" t="s">
        <v>48</v>
      </c>
      <c r="M53" s="12" t="s">
        <v>92</v>
      </c>
      <c r="N53" s="12" t="s">
        <v>80</v>
      </c>
      <c r="O53" s="12" t="s">
        <v>798</v>
      </c>
      <c r="P53" s="12"/>
    </row>
    <row r="54" ht="15.75" customHeight="1">
      <c r="A54" s="8" t="s">
        <v>801</v>
      </c>
      <c r="B54" s="8" t="s">
        <v>39</v>
      </c>
      <c r="C54" s="8" t="s">
        <v>250</v>
      </c>
      <c r="D54" s="11" t="s">
        <v>807</v>
      </c>
      <c r="E54" s="8" t="s">
        <v>808</v>
      </c>
      <c r="F54" s="8" t="s">
        <v>809</v>
      </c>
      <c r="G54" s="8" t="s">
        <v>344</v>
      </c>
      <c r="H54" s="8" t="s">
        <v>48</v>
      </c>
      <c r="I54" s="8" t="s">
        <v>801</v>
      </c>
      <c r="J54" s="8" t="s">
        <v>49</v>
      </c>
      <c r="K54" s="8" t="s">
        <v>31</v>
      </c>
      <c r="L54" s="8" t="s">
        <v>48</v>
      </c>
      <c r="M54" s="12" t="s">
        <v>816</v>
      </c>
      <c r="N54" s="12" t="s">
        <v>818</v>
      </c>
      <c r="O54" s="12" t="s">
        <v>280</v>
      </c>
      <c r="P54" s="12"/>
    </row>
    <row r="55" ht="15.75" customHeight="1">
      <c r="A55" s="8" t="s">
        <v>821</v>
      </c>
      <c r="B55" s="8" t="s">
        <v>39</v>
      </c>
      <c r="C55" s="8" t="s">
        <v>40</v>
      </c>
      <c r="D55" s="11" t="s">
        <v>824</v>
      </c>
      <c r="E55" s="8" t="s">
        <v>826</v>
      </c>
      <c r="F55" s="8" t="s">
        <v>827</v>
      </c>
      <c r="G55" s="8" t="s">
        <v>47</v>
      </c>
      <c r="H55" s="8" t="s">
        <v>48</v>
      </c>
      <c r="I55" s="8" t="s">
        <v>821</v>
      </c>
      <c r="J55" s="8" t="s">
        <v>49</v>
      </c>
      <c r="K55" s="8" t="s">
        <v>31</v>
      </c>
      <c r="L55" s="8" t="s">
        <v>48</v>
      </c>
      <c r="M55" s="12" t="s">
        <v>92</v>
      </c>
      <c r="N55" s="12" t="s">
        <v>80</v>
      </c>
      <c r="O55" s="12" t="s">
        <v>225</v>
      </c>
      <c r="P55" s="12"/>
    </row>
    <row r="56" ht="15.75" customHeight="1">
      <c r="A56" s="8" t="s">
        <v>832</v>
      </c>
      <c r="B56" s="8" t="s">
        <v>269</v>
      </c>
      <c r="C56" s="8" t="s">
        <v>40</v>
      </c>
      <c r="D56" s="11" t="s">
        <v>833</v>
      </c>
      <c r="E56" s="8" t="s">
        <v>834</v>
      </c>
      <c r="F56" s="8" t="s">
        <v>835</v>
      </c>
      <c r="G56" s="8" t="s">
        <v>836</v>
      </c>
      <c r="H56" s="8" t="s">
        <v>48</v>
      </c>
      <c r="I56" s="8" t="s">
        <v>832</v>
      </c>
      <c r="J56" s="8" t="s">
        <v>49</v>
      </c>
      <c r="K56" s="8" t="s">
        <v>31</v>
      </c>
      <c r="L56" s="8" t="s">
        <v>48</v>
      </c>
      <c r="M56" s="12" t="s">
        <v>92</v>
      </c>
      <c r="N56" s="12" t="s">
        <v>80</v>
      </c>
      <c r="O56" s="12" t="s">
        <v>77</v>
      </c>
      <c r="P56" s="12"/>
    </row>
    <row r="57" ht="15.75" customHeight="1">
      <c r="A57" s="8" t="s">
        <v>837</v>
      </c>
      <c r="B57" s="8" t="s">
        <v>269</v>
      </c>
      <c r="C57" s="8" t="s">
        <v>40</v>
      </c>
      <c r="D57" s="11" t="s">
        <v>838</v>
      </c>
      <c r="E57" s="8" t="s">
        <v>839</v>
      </c>
      <c r="F57" s="8" t="s">
        <v>840</v>
      </c>
      <c r="G57" s="8" t="s">
        <v>841</v>
      </c>
      <c r="H57" s="8" t="s">
        <v>48</v>
      </c>
      <c r="I57" s="8" t="s">
        <v>837</v>
      </c>
      <c r="J57" s="8" t="s">
        <v>49</v>
      </c>
      <c r="K57" s="8" t="s">
        <v>31</v>
      </c>
      <c r="L57" s="8" t="s">
        <v>48</v>
      </c>
      <c r="M57" s="12" t="s">
        <v>92</v>
      </c>
      <c r="N57" s="12" t="s">
        <v>80</v>
      </c>
      <c r="O57" s="12" t="s">
        <v>77</v>
      </c>
      <c r="P57" s="12"/>
    </row>
    <row r="58" ht="15.75" customHeight="1">
      <c r="A58" s="8" t="s">
        <v>843</v>
      </c>
      <c r="B58" s="8" t="s">
        <v>269</v>
      </c>
      <c r="C58" s="8" t="s">
        <v>40</v>
      </c>
      <c r="D58" s="11" t="s">
        <v>845</v>
      </c>
      <c r="E58" s="8" t="s">
        <v>846</v>
      </c>
      <c r="F58" s="8" t="s">
        <v>847</v>
      </c>
      <c r="G58" s="8" t="s">
        <v>848</v>
      </c>
      <c r="H58" s="8" t="s">
        <v>48</v>
      </c>
      <c r="I58" s="8" t="s">
        <v>843</v>
      </c>
      <c r="J58" s="8" t="s">
        <v>49</v>
      </c>
      <c r="K58" s="8" t="s">
        <v>31</v>
      </c>
      <c r="L58" s="8" t="s">
        <v>48</v>
      </c>
      <c r="M58" s="12" t="s">
        <v>92</v>
      </c>
      <c r="N58" s="12" t="s">
        <v>80</v>
      </c>
      <c r="O58" s="12" t="s">
        <v>118</v>
      </c>
      <c r="P58" s="12"/>
    </row>
    <row r="59" ht="15.75" customHeight="1">
      <c r="A59" s="8" t="s">
        <v>853</v>
      </c>
      <c r="B59" s="8" t="s">
        <v>269</v>
      </c>
      <c r="C59" s="8" t="s">
        <v>263</v>
      </c>
      <c r="D59" s="11" t="s">
        <v>855</v>
      </c>
      <c r="E59" s="8" t="s">
        <v>857</v>
      </c>
      <c r="F59" s="8" t="s">
        <v>858</v>
      </c>
      <c r="G59" s="8" t="s">
        <v>860</v>
      </c>
      <c r="H59" s="8" t="s">
        <v>55</v>
      </c>
      <c r="I59" s="8"/>
      <c r="J59" s="8" t="s">
        <v>57</v>
      </c>
      <c r="K59" s="8" t="s">
        <v>59</v>
      </c>
      <c r="L59" s="8" t="s">
        <v>55</v>
      </c>
      <c r="M59" s="12"/>
      <c r="N59" s="12"/>
      <c r="O59" s="12"/>
      <c r="P59" s="12"/>
    </row>
    <row r="60" ht="15.75" customHeight="1">
      <c r="A60" s="8" t="s">
        <v>870</v>
      </c>
      <c r="B60" s="8" t="s">
        <v>269</v>
      </c>
      <c r="C60" s="8" t="s">
        <v>263</v>
      </c>
      <c r="D60" s="11" t="s">
        <v>875</v>
      </c>
      <c r="E60" s="8" t="s">
        <v>876</v>
      </c>
      <c r="F60" s="8" t="s">
        <v>877</v>
      </c>
      <c r="G60" s="8" t="s">
        <v>860</v>
      </c>
      <c r="H60" s="8" t="s">
        <v>55</v>
      </c>
      <c r="I60" s="8"/>
      <c r="J60" s="8" t="s">
        <v>57</v>
      </c>
      <c r="K60" s="8" t="s">
        <v>59</v>
      </c>
      <c r="L60" s="8" t="s">
        <v>55</v>
      </c>
      <c r="M60" s="12"/>
      <c r="N60" s="12"/>
      <c r="O60" s="12"/>
      <c r="P60" s="12"/>
    </row>
    <row r="61" ht="15.75" customHeight="1">
      <c r="A61" s="8" t="s">
        <v>887</v>
      </c>
      <c r="B61" s="8" t="s">
        <v>269</v>
      </c>
      <c r="C61" s="8" t="s">
        <v>263</v>
      </c>
      <c r="D61" s="11" t="s">
        <v>890</v>
      </c>
      <c r="E61" s="8" t="s">
        <v>893</v>
      </c>
      <c r="F61" s="8" t="s">
        <v>895</v>
      </c>
      <c r="G61" s="8" t="s">
        <v>860</v>
      </c>
      <c r="H61" s="8" t="s">
        <v>48</v>
      </c>
      <c r="I61" s="8" t="s">
        <v>887</v>
      </c>
      <c r="J61" s="8" t="s">
        <v>49</v>
      </c>
      <c r="K61" s="8" t="s">
        <v>31</v>
      </c>
      <c r="L61" s="8" t="s">
        <v>55</v>
      </c>
      <c r="M61" s="12"/>
      <c r="N61" s="12"/>
      <c r="O61" s="12" t="s">
        <v>888</v>
      </c>
      <c r="P61" s="12"/>
    </row>
    <row r="62" ht="15.75" customHeight="1">
      <c r="A62" s="8" t="s">
        <v>903</v>
      </c>
      <c r="B62" s="8" t="s">
        <v>269</v>
      </c>
      <c r="C62" s="8" t="s">
        <v>394</v>
      </c>
      <c r="D62" s="11" t="s">
        <v>904</v>
      </c>
      <c r="E62" s="8" t="s">
        <v>907</v>
      </c>
      <c r="F62" s="8" t="s">
        <v>908</v>
      </c>
      <c r="G62" s="8" t="s">
        <v>860</v>
      </c>
      <c r="H62" s="8" t="s">
        <v>55</v>
      </c>
      <c r="I62" s="8"/>
      <c r="J62" s="8" t="s">
        <v>57</v>
      </c>
      <c r="K62" s="8" t="s">
        <v>59</v>
      </c>
      <c r="L62" s="8" t="s">
        <v>55</v>
      </c>
      <c r="M62" s="12"/>
      <c r="N62" s="12"/>
      <c r="O62" s="12"/>
      <c r="P62" s="12"/>
    </row>
    <row r="63" ht="15.75" customHeight="1">
      <c r="A63" s="8" t="s">
        <v>917</v>
      </c>
      <c r="B63" s="8" t="s">
        <v>269</v>
      </c>
      <c r="C63" s="8" t="s">
        <v>250</v>
      </c>
      <c r="D63" s="11" t="s">
        <v>922</v>
      </c>
      <c r="E63" s="8" t="s">
        <v>924</v>
      </c>
      <c r="F63" s="8" t="s">
        <v>926</v>
      </c>
      <c r="G63" s="8" t="s">
        <v>928</v>
      </c>
      <c r="H63" s="8" t="s">
        <v>55</v>
      </c>
      <c r="I63" s="8"/>
      <c r="J63" s="8" t="s">
        <v>57</v>
      </c>
      <c r="K63" s="8" t="s">
        <v>59</v>
      </c>
      <c r="L63" s="8" t="s">
        <v>55</v>
      </c>
      <c r="M63" s="12"/>
      <c r="N63" s="12"/>
      <c r="O63" s="12"/>
      <c r="P63" s="12"/>
    </row>
    <row r="64" ht="15.75" customHeight="1">
      <c r="A64" s="8" t="s">
        <v>934</v>
      </c>
      <c r="B64" s="8" t="s">
        <v>269</v>
      </c>
      <c r="C64" s="8" t="s">
        <v>263</v>
      </c>
      <c r="D64" s="11" t="s">
        <v>943</v>
      </c>
      <c r="E64" s="8" t="s">
        <v>944</v>
      </c>
      <c r="F64" s="8" t="s">
        <v>945</v>
      </c>
      <c r="G64" s="8" t="s">
        <v>928</v>
      </c>
      <c r="H64" s="8" t="s">
        <v>55</v>
      </c>
      <c r="I64" s="8"/>
      <c r="J64" s="8" t="s">
        <v>57</v>
      </c>
      <c r="K64" s="8" t="s">
        <v>59</v>
      </c>
      <c r="L64" s="8" t="s">
        <v>55</v>
      </c>
      <c r="M64" s="12"/>
      <c r="N64" s="12"/>
      <c r="O64" s="12"/>
      <c r="P64" s="12"/>
    </row>
    <row r="65" ht="15.75" customHeight="1">
      <c r="A65" s="8" t="s">
        <v>953</v>
      </c>
      <c r="B65" s="8" t="s">
        <v>269</v>
      </c>
      <c r="C65" s="8" t="s">
        <v>40</v>
      </c>
      <c r="D65" s="11" t="s">
        <v>960</v>
      </c>
      <c r="E65" s="8" t="s">
        <v>961</v>
      </c>
      <c r="F65" s="8" t="s">
        <v>962</v>
      </c>
      <c r="G65" s="8" t="s">
        <v>836</v>
      </c>
      <c r="H65" s="8" t="s">
        <v>48</v>
      </c>
      <c r="I65" s="8" t="s">
        <v>953</v>
      </c>
      <c r="J65" s="8" t="s">
        <v>49</v>
      </c>
      <c r="K65" s="8" t="s">
        <v>31</v>
      </c>
      <c r="L65" s="8" t="s">
        <v>48</v>
      </c>
      <c r="M65" s="12" t="s">
        <v>139</v>
      </c>
      <c r="N65" s="12" t="s">
        <v>80</v>
      </c>
      <c r="O65" s="12" t="s">
        <v>77</v>
      </c>
      <c r="P65" s="12"/>
    </row>
    <row r="66" ht="15.75" customHeight="1">
      <c r="A66" s="8" t="s">
        <v>974</v>
      </c>
      <c r="B66" s="8" t="s">
        <v>424</v>
      </c>
      <c r="C66" s="8" t="s">
        <v>40</v>
      </c>
      <c r="D66" s="11" t="s">
        <v>978</v>
      </c>
      <c r="E66" s="8" t="s">
        <v>980</v>
      </c>
      <c r="F66" s="8" t="s">
        <v>981</v>
      </c>
      <c r="G66" s="8" t="s">
        <v>982</v>
      </c>
      <c r="H66" s="8" t="s">
        <v>48</v>
      </c>
      <c r="I66" s="8" t="s">
        <v>974</v>
      </c>
      <c r="J66" s="8" t="s">
        <v>49</v>
      </c>
      <c r="K66" s="8" t="s">
        <v>31</v>
      </c>
      <c r="L66" s="8" t="s">
        <v>48</v>
      </c>
      <c r="M66" s="12" t="s">
        <v>139</v>
      </c>
      <c r="N66" s="12" t="s">
        <v>80</v>
      </c>
      <c r="O66" s="12" t="s">
        <v>991</v>
      </c>
      <c r="P66" s="12" t="s">
        <v>992</v>
      </c>
    </row>
    <row r="67" ht="15.75" customHeight="1">
      <c r="A67" s="8" t="s">
        <v>994</v>
      </c>
      <c r="B67" s="8" t="s">
        <v>424</v>
      </c>
      <c r="C67" s="8" t="s">
        <v>40</v>
      </c>
      <c r="D67" s="11" t="s">
        <v>996</v>
      </c>
      <c r="E67" s="8" t="s">
        <v>998</v>
      </c>
      <c r="F67" s="8" t="s">
        <v>1001</v>
      </c>
      <c r="G67" s="8" t="s">
        <v>1003</v>
      </c>
      <c r="H67" s="8" t="s">
        <v>48</v>
      </c>
      <c r="I67" s="8" t="s">
        <v>994</v>
      </c>
      <c r="J67" s="8" t="s">
        <v>49</v>
      </c>
      <c r="K67" s="8" t="s">
        <v>32</v>
      </c>
      <c r="L67" s="8" t="s">
        <v>48</v>
      </c>
      <c r="M67" s="12" t="s">
        <v>92</v>
      </c>
      <c r="N67" s="12" t="s">
        <v>80</v>
      </c>
      <c r="O67" s="12" t="s">
        <v>530</v>
      </c>
      <c r="P67" s="12" t="s">
        <v>1010</v>
      </c>
    </row>
    <row r="68" ht="15.75" customHeight="1">
      <c r="A68" s="8" t="s">
        <v>1012</v>
      </c>
      <c r="B68" s="8" t="s">
        <v>424</v>
      </c>
      <c r="C68" s="8" t="s">
        <v>40</v>
      </c>
      <c r="D68" s="11" t="s">
        <v>1013</v>
      </c>
      <c r="E68" s="8" t="s">
        <v>1014</v>
      </c>
      <c r="F68" s="8" t="s">
        <v>1016</v>
      </c>
      <c r="G68" s="8" t="s">
        <v>1003</v>
      </c>
      <c r="H68" s="8" t="s">
        <v>48</v>
      </c>
      <c r="I68" s="8" t="s">
        <v>1012</v>
      </c>
      <c r="J68" s="8" t="s">
        <v>49</v>
      </c>
      <c r="K68" s="8" t="s">
        <v>31</v>
      </c>
      <c r="L68" s="8" t="s">
        <v>48</v>
      </c>
      <c r="M68" s="12" t="s">
        <v>92</v>
      </c>
      <c r="N68" s="12" t="s">
        <v>80</v>
      </c>
      <c r="O68" s="12" t="s">
        <v>991</v>
      </c>
      <c r="P68" s="12"/>
    </row>
    <row r="69" ht="15.75" customHeight="1">
      <c r="A69" s="8" t="s">
        <v>1025</v>
      </c>
      <c r="B69" s="8" t="s">
        <v>424</v>
      </c>
      <c r="C69" s="8" t="s">
        <v>442</v>
      </c>
      <c r="D69" s="11" t="s">
        <v>1028</v>
      </c>
      <c r="E69" s="8" t="s">
        <v>1029</v>
      </c>
      <c r="F69" s="8" t="s">
        <v>1030</v>
      </c>
      <c r="G69" s="8" t="s">
        <v>1031</v>
      </c>
      <c r="H69" s="8" t="s">
        <v>48</v>
      </c>
      <c r="I69" s="8" t="s">
        <v>1025</v>
      </c>
      <c r="J69" s="8" t="s">
        <v>49</v>
      </c>
      <c r="K69" s="8" t="s">
        <v>31</v>
      </c>
      <c r="L69" s="8" t="s">
        <v>48</v>
      </c>
      <c r="M69" s="12" t="s">
        <v>357</v>
      </c>
      <c r="N69" s="12" t="s">
        <v>80</v>
      </c>
      <c r="O69" s="12" t="s">
        <v>77</v>
      </c>
      <c r="P69" s="12"/>
    </row>
    <row r="70" ht="15.75" customHeight="1">
      <c r="A70" s="8" t="s">
        <v>1036</v>
      </c>
      <c r="B70" s="8" t="s">
        <v>424</v>
      </c>
      <c r="C70" s="8" t="s">
        <v>40</v>
      </c>
      <c r="D70" s="11" t="s">
        <v>978</v>
      </c>
      <c r="E70" s="8" t="s">
        <v>1037</v>
      </c>
      <c r="F70" s="8" t="s">
        <v>1038</v>
      </c>
      <c r="G70" s="8" t="s">
        <v>982</v>
      </c>
      <c r="H70" s="8" t="s">
        <v>48</v>
      </c>
      <c r="I70" s="8" t="s">
        <v>1036</v>
      </c>
      <c r="J70" s="8" t="s">
        <v>49</v>
      </c>
      <c r="K70" s="8" t="s">
        <v>31</v>
      </c>
      <c r="L70" s="8" t="s">
        <v>48</v>
      </c>
      <c r="M70" s="12" t="s">
        <v>92</v>
      </c>
      <c r="N70" s="12" t="s">
        <v>80</v>
      </c>
      <c r="O70" s="12" t="s">
        <v>1042</v>
      </c>
      <c r="P70" s="12"/>
    </row>
    <row r="71" ht="15.75" customHeight="1">
      <c r="A71" s="8" t="s">
        <v>1044</v>
      </c>
      <c r="B71" s="8" t="s">
        <v>424</v>
      </c>
      <c r="C71" s="8" t="s">
        <v>394</v>
      </c>
      <c r="D71" s="11" t="s">
        <v>978</v>
      </c>
      <c r="E71" s="8" t="s">
        <v>1048</v>
      </c>
      <c r="F71" s="8" t="s">
        <v>1049</v>
      </c>
      <c r="G71" s="8" t="s">
        <v>1051</v>
      </c>
      <c r="H71" s="8" t="s">
        <v>48</v>
      </c>
      <c r="I71" s="8" t="s">
        <v>1044</v>
      </c>
      <c r="J71" s="8" t="s">
        <v>49</v>
      </c>
      <c r="K71" s="8" t="s">
        <v>31</v>
      </c>
      <c r="L71" s="8" t="s">
        <v>48</v>
      </c>
      <c r="M71" s="12" t="s">
        <v>357</v>
      </c>
      <c r="N71" s="12" t="s">
        <v>80</v>
      </c>
      <c r="O71" s="12" t="s">
        <v>118</v>
      </c>
      <c r="P71" s="12"/>
    </row>
    <row r="72" ht="15.75" customHeight="1">
      <c r="A72" s="8" t="s">
        <v>1053</v>
      </c>
      <c r="B72" s="8" t="s">
        <v>424</v>
      </c>
      <c r="C72" s="8" t="s">
        <v>40</v>
      </c>
      <c r="D72" s="11" t="s">
        <v>1055</v>
      </c>
      <c r="E72" s="8" t="s">
        <v>1056</v>
      </c>
      <c r="F72" s="8" t="s">
        <v>1059</v>
      </c>
      <c r="G72" s="8" t="s">
        <v>982</v>
      </c>
      <c r="H72" s="8" t="s">
        <v>48</v>
      </c>
      <c r="I72" s="8" t="s">
        <v>1053</v>
      </c>
      <c r="J72" s="8" t="s">
        <v>49</v>
      </c>
      <c r="K72" s="8" t="s">
        <v>31</v>
      </c>
      <c r="L72" s="8" t="s">
        <v>48</v>
      </c>
      <c r="M72" s="12" t="s">
        <v>92</v>
      </c>
      <c r="N72" s="12" t="s">
        <v>80</v>
      </c>
      <c r="O72" s="12" t="s">
        <v>798</v>
      </c>
      <c r="P72" s="12"/>
    </row>
    <row r="73" ht="15.75" customHeight="1">
      <c r="A73" s="8" t="s">
        <v>1063</v>
      </c>
      <c r="B73" s="8" t="s">
        <v>424</v>
      </c>
      <c r="C73" s="8" t="s">
        <v>40</v>
      </c>
      <c r="D73" s="11" t="s">
        <v>1065</v>
      </c>
      <c r="E73" s="8" t="s">
        <v>1066</v>
      </c>
      <c r="F73" s="8" t="s">
        <v>1068</v>
      </c>
      <c r="G73" s="8" t="s">
        <v>1003</v>
      </c>
      <c r="H73" s="8" t="s">
        <v>48</v>
      </c>
      <c r="I73" s="8" t="s">
        <v>1063</v>
      </c>
      <c r="J73" s="8" t="s">
        <v>49</v>
      </c>
      <c r="K73" s="8" t="s">
        <v>32</v>
      </c>
      <c r="L73" s="8" t="s">
        <v>48</v>
      </c>
      <c r="M73" s="12" t="s">
        <v>92</v>
      </c>
      <c r="N73" s="12" t="s">
        <v>80</v>
      </c>
      <c r="O73" s="12" t="s">
        <v>1075</v>
      </c>
      <c r="P73" s="12" t="s">
        <v>1078</v>
      </c>
    </row>
    <row r="74" ht="15.75" customHeight="1">
      <c r="A74" s="8" t="s">
        <v>1080</v>
      </c>
      <c r="B74" s="8" t="s">
        <v>424</v>
      </c>
      <c r="C74" s="8" t="s">
        <v>40</v>
      </c>
      <c r="D74" s="11" t="s">
        <v>1082</v>
      </c>
      <c r="E74" s="8" t="s">
        <v>1084</v>
      </c>
      <c r="F74" s="8" t="s">
        <v>1086</v>
      </c>
      <c r="G74" s="8" t="s">
        <v>1003</v>
      </c>
      <c r="H74" s="8" t="s">
        <v>48</v>
      </c>
      <c r="I74" s="8" t="s">
        <v>1080</v>
      </c>
      <c r="J74" s="8" t="s">
        <v>49</v>
      </c>
      <c r="K74" s="8" t="s">
        <v>31</v>
      </c>
      <c r="L74" s="8" t="s">
        <v>55</v>
      </c>
      <c r="M74" s="12"/>
      <c r="N74" s="12"/>
      <c r="O74" s="12" t="s">
        <v>1090</v>
      </c>
      <c r="P74" s="12"/>
    </row>
    <row r="75" ht="15.75" customHeight="1">
      <c r="A75" s="8" t="s">
        <v>1094</v>
      </c>
      <c r="B75" s="8" t="s">
        <v>424</v>
      </c>
      <c r="C75" s="8" t="s">
        <v>40</v>
      </c>
      <c r="D75" s="11" t="s">
        <v>1096</v>
      </c>
      <c r="E75" s="8" t="s">
        <v>1098</v>
      </c>
      <c r="F75" s="8" t="s">
        <v>1101</v>
      </c>
      <c r="G75" s="8" t="s">
        <v>1000</v>
      </c>
      <c r="H75" s="8" t="s">
        <v>48</v>
      </c>
      <c r="I75" s="8" t="s">
        <v>1094</v>
      </c>
      <c r="J75" s="8" t="s">
        <v>49</v>
      </c>
      <c r="K75" s="8" t="s">
        <v>32</v>
      </c>
      <c r="L75" s="8" t="s">
        <v>48</v>
      </c>
      <c r="M75" s="12" t="s">
        <v>92</v>
      </c>
      <c r="N75" s="12" t="s">
        <v>80</v>
      </c>
      <c r="O75" s="12" t="s">
        <v>276</v>
      </c>
      <c r="P75" s="12"/>
    </row>
    <row r="76" ht="15.75" customHeight="1">
      <c r="A76" s="8" t="s">
        <v>1106</v>
      </c>
      <c r="B76" s="8" t="s">
        <v>424</v>
      </c>
      <c r="C76" s="8" t="s">
        <v>250</v>
      </c>
      <c r="D76" s="11" t="s">
        <v>1111</v>
      </c>
      <c r="E76" s="8" t="s">
        <v>1113</v>
      </c>
      <c r="F76" s="8" t="s">
        <v>1115</v>
      </c>
      <c r="G76" s="8" t="s">
        <v>1051</v>
      </c>
      <c r="H76" s="8" t="s">
        <v>48</v>
      </c>
      <c r="I76" s="8" t="s">
        <v>1106</v>
      </c>
      <c r="J76" s="8" t="s">
        <v>49</v>
      </c>
      <c r="K76" s="8" t="s">
        <v>31</v>
      </c>
      <c r="L76" s="8" t="s">
        <v>55</v>
      </c>
      <c r="M76" s="12"/>
      <c r="N76" s="12"/>
      <c r="O76" s="12" t="s">
        <v>77</v>
      </c>
      <c r="P76" s="12"/>
    </row>
    <row r="77" ht="15.75" customHeight="1">
      <c r="A77" s="8" t="s">
        <v>1119</v>
      </c>
      <c r="B77" s="8" t="s">
        <v>424</v>
      </c>
      <c r="C77" s="8" t="s">
        <v>40</v>
      </c>
      <c r="D77" s="11" t="s">
        <v>1125</v>
      </c>
      <c r="E77" s="8" t="s">
        <v>1126</v>
      </c>
      <c r="F77" s="8" t="s">
        <v>1128</v>
      </c>
      <c r="G77" s="8" t="s">
        <v>1051</v>
      </c>
      <c r="H77" s="8" t="s">
        <v>48</v>
      </c>
      <c r="I77" s="8" t="s">
        <v>1119</v>
      </c>
      <c r="J77" s="8" t="s">
        <v>49</v>
      </c>
      <c r="K77" s="8" t="s">
        <v>31</v>
      </c>
      <c r="L77" s="8" t="s">
        <v>48</v>
      </c>
      <c r="M77" s="12" t="s">
        <v>92</v>
      </c>
      <c r="N77" s="12" t="s">
        <v>80</v>
      </c>
      <c r="O77" s="12" t="s">
        <v>267</v>
      </c>
      <c r="P77" s="12"/>
    </row>
    <row r="78" ht="15.75" customHeight="1">
      <c r="A78" s="8" t="s">
        <v>1132</v>
      </c>
      <c r="B78" s="8" t="s">
        <v>424</v>
      </c>
      <c r="C78" s="8" t="s">
        <v>40</v>
      </c>
      <c r="D78" s="11" t="s">
        <v>978</v>
      </c>
      <c r="E78" s="8" t="s">
        <v>1138</v>
      </c>
      <c r="F78" s="8" t="s">
        <v>1140</v>
      </c>
      <c r="G78" s="8" t="s">
        <v>982</v>
      </c>
      <c r="H78" s="8" t="s">
        <v>48</v>
      </c>
      <c r="I78" s="8" t="s">
        <v>1132</v>
      </c>
      <c r="J78" s="8" t="s">
        <v>49</v>
      </c>
      <c r="K78" s="8" t="s">
        <v>31</v>
      </c>
      <c r="L78" s="8" t="s">
        <v>55</v>
      </c>
      <c r="M78" s="12"/>
      <c r="N78" s="12"/>
      <c r="O78" s="12" t="s">
        <v>991</v>
      </c>
      <c r="P78" s="12"/>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78"/>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0.0"/>
    <col customWidth="1" min="3" max="3" width="30.0"/>
    <col customWidth="1" min="4" max="4" width="45.0"/>
    <col customWidth="1" min="5" max="5" width="19.0"/>
    <col customWidth="1" min="6" max="6" width="12.0"/>
    <col customWidth="1" min="7" max="7" width="32.0"/>
    <col customWidth="1" min="8" max="8" width="11.0"/>
    <col customWidth="1" min="9" max="9" width="13.0"/>
    <col customWidth="1" min="10" max="10" width="24.0"/>
    <col customWidth="1" min="11" max="11" width="17.0"/>
    <col customWidth="1" min="12" max="12" width="14.0"/>
    <col customWidth="1" min="13" max="13" width="22.29"/>
    <col customWidth="1" min="14" max="14" width="21.0"/>
    <col customWidth="1" min="15" max="16" width="8.71"/>
  </cols>
  <sheetData>
    <row r="1">
      <c r="A1" s="4" t="s">
        <v>2</v>
      </c>
      <c r="B1" s="4" t="s">
        <v>4</v>
      </c>
      <c r="C1" s="4" t="s">
        <v>5</v>
      </c>
      <c r="D1" s="4" t="s">
        <v>6</v>
      </c>
      <c r="E1" s="4" t="s">
        <v>7</v>
      </c>
      <c r="F1" s="4" t="s">
        <v>9</v>
      </c>
      <c r="G1" s="4" t="s">
        <v>11</v>
      </c>
      <c r="H1" s="4" t="s">
        <v>12</v>
      </c>
      <c r="I1" s="4" t="s">
        <v>14</v>
      </c>
      <c r="J1" s="4" t="s">
        <v>15</v>
      </c>
      <c r="K1" s="4" t="s">
        <v>17</v>
      </c>
      <c r="L1" s="4" t="s">
        <v>18</v>
      </c>
      <c r="M1" s="5" t="s">
        <v>21</v>
      </c>
      <c r="N1" s="5" t="s">
        <v>26</v>
      </c>
      <c r="O1" s="5" t="s">
        <v>27</v>
      </c>
      <c r="P1" s="5" t="s">
        <v>29</v>
      </c>
      <c r="Q1" s="9"/>
      <c r="R1" s="9"/>
      <c r="S1" s="9"/>
      <c r="T1" s="9"/>
      <c r="U1" s="9"/>
      <c r="V1" s="9"/>
      <c r="W1" s="9"/>
      <c r="X1" s="9"/>
      <c r="Y1" s="9"/>
      <c r="Z1" s="9"/>
    </row>
    <row r="2">
      <c r="A2" s="8" t="s">
        <v>246</v>
      </c>
      <c r="B2" s="8" t="s">
        <v>39</v>
      </c>
      <c r="C2" s="8" t="s">
        <v>250</v>
      </c>
      <c r="D2" s="11" t="s">
        <v>252</v>
      </c>
      <c r="E2" s="8" t="s">
        <v>253</v>
      </c>
      <c r="F2" s="8" t="s">
        <v>254</v>
      </c>
      <c r="G2" s="8" t="s">
        <v>47</v>
      </c>
      <c r="H2" s="8" t="s">
        <v>55</v>
      </c>
      <c r="I2" s="8"/>
      <c r="J2" s="8" t="s">
        <v>57</v>
      </c>
      <c r="K2" s="8" t="s">
        <v>59</v>
      </c>
      <c r="L2" s="8" t="s">
        <v>55</v>
      </c>
      <c r="M2" s="12"/>
      <c r="N2" s="12"/>
      <c r="O2" s="12"/>
      <c r="P2" s="12"/>
    </row>
    <row r="3">
      <c r="A3" s="8" t="s">
        <v>260</v>
      </c>
      <c r="B3" s="8" t="s">
        <v>39</v>
      </c>
      <c r="C3" s="8" t="s">
        <v>263</v>
      </c>
      <c r="D3" s="11" t="s">
        <v>266</v>
      </c>
      <c r="E3" s="8" t="s">
        <v>268</v>
      </c>
      <c r="F3" s="8" t="s">
        <v>270</v>
      </c>
      <c r="G3" s="8" t="s">
        <v>272</v>
      </c>
      <c r="H3" s="8" t="s">
        <v>48</v>
      </c>
      <c r="I3" s="8" t="s">
        <v>260</v>
      </c>
      <c r="J3" s="8" t="s">
        <v>49</v>
      </c>
      <c r="K3" s="8" t="s">
        <v>31</v>
      </c>
      <c r="L3" s="8" t="s">
        <v>55</v>
      </c>
      <c r="M3" s="12"/>
      <c r="N3" s="12"/>
      <c r="O3" s="12" t="s">
        <v>277</v>
      </c>
      <c r="P3" s="12"/>
    </row>
    <row r="4">
      <c r="A4" s="8" t="s">
        <v>61</v>
      </c>
      <c r="B4" s="8" t="s">
        <v>39</v>
      </c>
      <c r="C4" s="8" t="s">
        <v>40</v>
      </c>
      <c r="D4" s="11" t="s">
        <v>288</v>
      </c>
      <c r="E4" s="8" t="s">
        <v>64</v>
      </c>
      <c r="F4" s="8" t="s">
        <v>65</v>
      </c>
      <c r="G4" s="8" t="s">
        <v>290</v>
      </c>
      <c r="H4" s="8" t="s">
        <v>48</v>
      </c>
      <c r="I4" s="8" t="s">
        <v>61</v>
      </c>
      <c r="J4" s="8" t="s">
        <v>49</v>
      </c>
      <c r="K4" s="8" t="s">
        <v>31</v>
      </c>
      <c r="L4" s="8" t="s">
        <v>48</v>
      </c>
      <c r="M4" s="12" t="s">
        <v>69</v>
      </c>
      <c r="N4" s="12" t="s">
        <v>56</v>
      </c>
      <c r="O4" s="12" t="s">
        <v>70</v>
      </c>
      <c r="P4" s="12"/>
    </row>
    <row r="5">
      <c r="A5" s="8" t="s">
        <v>300</v>
      </c>
      <c r="B5" s="8" t="s">
        <v>39</v>
      </c>
      <c r="C5" s="8" t="s">
        <v>40</v>
      </c>
      <c r="D5" s="11" t="s">
        <v>301</v>
      </c>
      <c r="E5" s="8" t="s">
        <v>302</v>
      </c>
      <c r="F5" s="8" t="s">
        <v>303</v>
      </c>
      <c r="G5" s="8" t="s">
        <v>47</v>
      </c>
      <c r="H5" s="8" t="s">
        <v>55</v>
      </c>
      <c r="I5" s="8"/>
      <c r="J5" s="8" t="s">
        <v>57</v>
      </c>
      <c r="K5" s="8" t="s">
        <v>59</v>
      </c>
      <c r="L5" s="8" t="s">
        <v>55</v>
      </c>
      <c r="M5" s="12"/>
      <c r="N5" s="12"/>
      <c r="O5" s="12"/>
      <c r="P5" s="12"/>
    </row>
    <row r="6">
      <c r="A6" s="8" t="s">
        <v>309</v>
      </c>
      <c r="B6" s="8" t="s">
        <v>39</v>
      </c>
      <c r="C6" s="8" t="s">
        <v>250</v>
      </c>
      <c r="D6" s="11" t="s">
        <v>315</v>
      </c>
      <c r="E6" s="8" t="s">
        <v>316</v>
      </c>
      <c r="F6" s="8" t="s">
        <v>317</v>
      </c>
      <c r="G6" s="8" t="s">
        <v>47</v>
      </c>
      <c r="H6" s="8" t="s">
        <v>48</v>
      </c>
      <c r="I6" s="8" t="s">
        <v>309</v>
      </c>
      <c r="J6" s="8" t="s">
        <v>49</v>
      </c>
      <c r="K6" s="8" t="s">
        <v>31</v>
      </c>
      <c r="L6" s="8" t="s">
        <v>55</v>
      </c>
      <c r="M6" s="12"/>
      <c r="N6" s="12"/>
      <c r="O6" s="12" t="s">
        <v>320</v>
      </c>
      <c r="P6" s="12"/>
    </row>
    <row r="7">
      <c r="A7" s="8" t="s">
        <v>323</v>
      </c>
      <c r="B7" s="8" t="s">
        <v>39</v>
      </c>
      <c r="C7" s="8" t="s">
        <v>40</v>
      </c>
      <c r="D7" s="11" t="s">
        <v>325</v>
      </c>
      <c r="E7" s="8" t="s">
        <v>328</v>
      </c>
      <c r="F7" s="8" t="s">
        <v>331</v>
      </c>
      <c r="G7" s="8" t="s">
        <v>54</v>
      </c>
      <c r="H7" s="8" t="s">
        <v>55</v>
      </c>
      <c r="I7" s="8"/>
      <c r="J7" s="8" t="s">
        <v>57</v>
      </c>
      <c r="K7" s="8" t="s">
        <v>59</v>
      </c>
      <c r="L7" s="8" t="s">
        <v>55</v>
      </c>
      <c r="M7" s="12"/>
      <c r="N7" s="12"/>
      <c r="O7" s="12"/>
      <c r="P7" s="12"/>
    </row>
    <row r="8">
      <c r="A8" s="8" t="s">
        <v>334</v>
      </c>
      <c r="B8" s="8" t="s">
        <v>39</v>
      </c>
      <c r="C8" s="8" t="s">
        <v>263</v>
      </c>
      <c r="D8" s="11" t="s">
        <v>338</v>
      </c>
      <c r="E8" s="8" t="s">
        <v>342</v>
      </c>
      <c r="F8" s="8" t="s">
        <v>343</v>
      </c>
      <c r="G8" s="8" t="s">
        <v>344</v>
      </c>
      <c r="H8" s="8" t="s">
        <v>55</v>
      </c>
      <c r="I8" s="8"/>
      <c r="J8" s="8" t="s">
        <v>57</v>
      </c>
      <c r="K8" s="8" t="s">
        <v>59</v>
      </c>
      <c r="L8" s="8" t="s">
        <v>55</v>
      </c>
      <c r="M8" s="12"/>
      <c r="N8" s="12"/>
      <c r="O8" s="12"/>
      <c r="P8" s="12"/>
    </row>
    <row r="9">
      <c r="A9" s="8" t="s">
        <v>354</v>
      </c>
      <c r="B9" s="8" t="s">
        <v>39</v>
      </c>
      <c r="C9" s="8" t="s">
        <v>40</v>
      </c>
      <c r="D9" s="11" t="s">
        <v>356</v>
      </c>
      <c r="E9" s="8" t="s">
        <v>358</v>
      </c>
      <c r="F9" s="8" t="s">
        <v>359</v>
      </c>
      <c r="G9" s="8" t="s">
        <v>117</v>
      </c>
      <c r="H9" s="8" t="s">
        <v>55</v>
      </c>
      <c r="I9" s="8"/>
      <c r="J9" s="8" t="s">
        <v>57</v>
      </c>
      <c r="K9" s="8" t="s">
        <v>59</v>
      </c>
      <c r="L9" s="8" t="s">
        <v>55</v>
      </c>
      <c r="M9" s="12"/>
      <c r="N9" s="12"/>
      <c r="O9" s="12"/>
      <c r="P9" s="12"/>
    </row>
    <row r="10">
      <c r="A10" s="8" t="s">
        <v>364</v>
      </c>
      <c r="B10" s="8" t="s">
        <v>39</v>
      </c>
      <c r="C10" s="8" t="s">
        <v>250</v>
      </c>
      <c r="D10" s="11" t="s">
        <v>370</v>
      </c>
      <c r="E10" s="8" t="s">
        <v>372</v>
      </c>
      <c r="F10" s="8" t="s">
        <v>373</v>
      </c>
      <c r="G10" s="8" t="s">
        <v>374</v>
      </c>
      <c r="H10" s="8" t="s">
        <v>55</v>
      </c>
      <c r="I10" s="8"/>
      <c r="J10" s="8" t="s">
        <v>57</v>
      </c>
      <c r="K10" s="8" t="s">
        <v>59</v>
      </c>
      <c r="L10" s="8" t="s">
        <v>55</v>
      </c>
      <c r="M10" s="12"/>
      <c r="N10" s="12"/>
      <c r="O10" s="12"/>
      <c r="P10" s="12"/>
    </row>
    <row r="11">
      <c r="A11" s="8" t="s">
        <v>377</v>
      </c>
      <c r="B11" s="8" t="s">
        <v>39</v>
      </c>
      <c r="C11" s="8" t="s">
        <v>379</v>
      </c>
      <c r="D11" s="11" t="s">
        <v>383</v>
      </c>
      <c r="E11" s="8" t="s">
        <v>387</v>
      </c>
      <c r="F11" s="8" t="s">
        <v>389</v>
      </c>
      <c r="G11" s="8" t="s">
        <v>47</v>
      </c>
      <c r="H11" s="8" t="s">
        <v>55</v>
      </c>
      <c r="I11" s="8"/>
      <c r="J11" s="8" t="s">
        <v>57</v>
      </c>
      <c r="K11" s="8" t="s">
        <v>59</v>
      </c>
      <c r="L11" s="8" t="s">
        <v>55</v>
      </c>
      <c r="M11" s="12"/>
      <c r="N11" s="12"/>
      <c r="O11" s="12"/>
      <c r="P11" s="12"/>
    </row>
    <row r="12">
      <c r="A12" s="8" t="s">
        <v>393</v>
      </c>
      <c r="B12" s="8" t="s">
        <v>39</v>
      </c>
      <c r="C12" s="8" t="s">
        <v>394</v>
      </c>
      <c r="D12" s="11" t="s">
        <v>397</v>
      </c>
      <c r="E12" s="8" t="s">
        <v>399</v>
      </c>
      <c r="F12" s="8" t="s">
        <v>400</v>
      </c>
      <c r="G12" s="8" t="s">
        <v>47</v>
      </c>
      <c r="H12" s="8" t="s">
        <v>48</v>
      </c>
      <c r="I12" s="8" t="s">
        <v>393</v>
      </c>
      <c r="J12" s="8" t="s">
        <v>401</v>
      </c>
      <c r="K12" s="8" t="s">
        <v>31</v>
      </c>
      <c r="L12" s="8" t="s">
        <v>55</v>
      </c>
      <c r="M12" s="12"/>
      <c r="N12" s="12"/>
      <c r="O12" s="12" t="s">
        <v>403</v>
      </c>
      <c r="P12" s="12"/>
    </row>
    <row r="13">
      <c r="A13" s="8" t="s">
        <v>405</v>
      </c>
      <c r="B13" s="8" t="s">
        <v>39</v>
      </c>
      <c r="C13" s="8" t="s">
        <v>307</v>
      </c>
      <c r="D13" s="11" t="s">
        <v>408</v>
      </c>
      <c r="E13" s="8" t="s">
        <v>410</v>
      </c>
      <c r="F13" s="8" t="s">
        <v>411</v>
      </c>
      <c r="G13" s="8" t="s">
        <v>54</v>
      </c>
      <c r="H13" s="8" t="s">
        <v>55</v>
      </c>
      <c r="I13" s="8"/>
      <c r="J13" s="8" t="s">
        <v>57</v>
      </c>
      <c r="K13" s="8" t="s">
        <v>59</v>
      </c>
      <c r="L13" s="8" t="s">
        <v>55</v>
      </c>
      <c r="M13" s="12"/>
      <c r="N13" s="12"/>
      <c r="O13" s="12"/>
      <c r="P13" s="12"/>
    </row>
    <row r="14">
      <c r="A14" s="8" t="s">
        <v>416</v>
      </c>
      <c r="B14" s="8" t="s">
        <v>39</v>
      </c>
      <c r="C14" s="8" t="s">
        <v>40</v>
      </c>
      <c r="D14" s="11" t="s">
        <v>420</v>
      </c>
      <c r="E14" s="8" t="s">
        <v>422</v>
      </c>
      <c r="F14" s="8" t="s">
        <v>425</v>
      </c>
      <c r="G14" s="8" t="s">
        <v>54</v>
      </c>
      <c r="H14" s="8" t="s">
        <v>55</v>
      </c>
      <c r="I14" s="8"/>
      <c r="J14" s="8" t="s">
        <v>57</v>
      </c>
      <c r="K14" s="8" t="s">
        <v>59</v>
      </c>
      <c r="L14" s="8" t="s">
        <v>55</v>
      </c>
      <c r="M14" s="12"/>
      <c r="N14" s="12"/>
      <c r="O14" s="12"/>
      <c r="P14" s="12"/>
    </row>
    <row r="15">
      <c r="A15" s="8" t="s">
        <v>429</v>
      </c>
      <c r="B15" s="8" t="s">
        <v>39</v>
      </c>
      <c r="C15" s="8" t="s">
        <v>263</v>
      </c>
      <c r="D15" s="11" t="s">
        <v>431</v>
      </c>
      <c r="E15" s="8" t="s">
        <v>432</v>
      </c>
      <c r="F15" s="8" t="s">
        <v>434</v>
      </c>
      <c r="G15" s="8" t="s">
        <v>54</v>
      </c>
      <c r="H15" s="8" t="s">
        <v>55</v>
      </c>
      <c r="I15" s="8"/>
      <c r="J15" s="8" t="s">
        <v>57</v>
      </c>
      <c r="K15" s="8" t="s">
        <v>59</v>
      </c>
      <c r="L15" s="8" t="s">
        <v>55</v>
      </c>
      <c r="M15" s="12"/>
      <c r="N15" s="12"/>
      <c r="O15" s="12"/>
      <c r="P15" s="12"/>
    </row>
    <row r="16">
      <c r="A16" s="8" t="s">
        <v>440</v>
      </c>
      <c r="B16" s="8" t="s">
        <v>39</v>
      </c>
      <c r="C16" s="8" t="s">
        <v>442</v>
      </c>
      <c r="D16" s="11" t="s">
        <v>444</v>
      </c>
      <c r="E16" s="8" t="s">
        <v>448</v>
      </c>
      <c r="F16" s="8" t="s">
        <v>450</v>
      </c>
      <c r="G16" s="8" t="s">
        <v>54</v>
      </c>
      <c r="H16" s="8" t="s">
        <v>55</v>
      </c>
      <c r="I16" s="8"/>
      <c r="J16" s="8" t="s">
        <v>57</v>
      </c>
      <c r="K16" s="8" t="s">
        <v>59</v>
      </c>
      <c r="L16" s="8" t="s">
        <v>55</v>
      </c>
      <c r="M16" s="12"/>
      <c r="N16" s="12"/>
      <c r="O16" s="12"/>
      <c r="P16" s="12"/>
    </row>
    <row r="17">
      <c r="A17" s="8" t="s">
        <v>453</v>
      </c>
      <c r="B17" s="8" t="s">
        <v>39</v>
      </c>
      <c r="C17" s="8" t="s">
        <v>379</v>
      </c>
      <c r="D17" s="11" t="s">
        <v>456</v>
      </c>
      <c r="E17" s="8" t="s">
        <v>457</v>
      </c>
      <c r="F17" s="8" t="s">
        <v>458</v>
      </c>
      <c r="G17" s="8" t="s">
        <v>47</v>
      </c>
      <c r="H17" s="8" t="s">
        <v>55</v>
      </c>
      <c r="I17" s="8"/>
      <c r="J17" s="8" t="s">
        <v>57</v>
      </c>
      <c r="K17" s="8" t="s">
        <v>59</v>
      </c>
      <c r="L17" s="8" t="s">
        <v>55</v>
      </c>
      <c r="M17" s="12"/>
      <c r="N17" s="12"/>
      <c r="O17" s="12"/>
      <c r="P17" s="12"/>
    </row>
    <row r="18">
      <c r="A18" s="8" t="s">
        <v>465</v>
      </c>
      <c r="B18" s="8" t="s">
        <v>39</v>
      </c>
      <c r="C18" s="8" t="s">
        <v>250</v>
      </c>
      <c r="D18" s="11" t="s">
        <v>467</v>
      </c>
      <c r="E18" s="8" t="s">
        <v>468</v>
      </c>
      <c r="F18" s="8" t="s">
        <v>469</v>
      </c>
      <c r="G18" s="8" t="s">
        <v>47</v>
      </c>
      <c r="H18" s="8" t="s">
        <v>55</v>
      </c>
      <c r="I18" s="8"/>
      <c r="J18" s="8" t="s">
        <v>57</v>
      </c>
      <c r="K18" s="8" t="s">
        <v>59</v>
      </c>
      <c r="L18" s="8" t="s">
        <v>55</v>
      </c>
      <c r="M18" s="12"/>
      <c r="N18" s="12"/>
      <c r="O18" s="12"/>
      <c r="P18" s="12"/>
    </row>
    <row r="19">
      <c r="A19" s="8" t="s">
        <v>478</v>
      </c>
      <c r="B19" s="8" t="s">
        <v>39</v>
      </c>
      <c r="C19" s="8" t="s">
        <v>250</v>
      </c>
      <c r="D19" s="11" t="s">
        <v>480</v>
      </c>
      <c r="E19" s="8" t="s">
        <v>481</v>
      </c>
      <c r="F19" s="8" t="s">
        <v>482</v>
      </c>
      <c r="G19" s="8" t="s">
        <v>54</v>
      </c>
      <c r="H19" s="8" t="s">
        <v>48</v>
      </c>
      <c r="I19" s="8" t="s">
        <v>478</v>
      </c>
      <c r="J19" s="8" t="s">
        <v>49</v>
      </c>
      <c r="K19" s="8" t="s">
        <v>31</v>
      </c>
      <c r="L19" s="8" t="s">
        <v>55</v>
      </c>
      <c r="M19" s="12"/>
      <c r="N19" s="12"/>
      <c r="O19" s="12" t="s">
        <v>486</v>
      </c>
      <c r="P19" s="12"/>
    </row>
    <row r="20">
      <c r="A20" s="8" t="s">
        <v>490</v>
      </c>
      <c r="B20" s="8" t="s">
        <v>39</v>
      </c>
      <c r="C20" s="8" t="s">
        <v>250</v>
      </c>
      <c r="D20" s="11" t="s">
        <v>494</v>
      </c>
      <c r="E20" s="8" t="s">
        <v>495</v>
      </c>
      <c r="F20" s="8" t="s">
        <v>496</v>
      </c>
      <c r="G20" s="8" t="s">
        <v>47</v>
      </c>
      <c r="H20" s="8" t="s">
        <v>55</v>
      </c>
      <c r="I20" s="8"/>
      <c r="J20" s="8" t="s">
        <v>57</v>
      </c>
      <c r="K20" s="8" t="s">
        <v>59</v>
      </c>
      <c r="L20" s="8" t="s">
        <v>55</v>
      </c>
      <c r="M20" s="12"/>
      <c r="N20" s="12"/>
      <c r="O20" s="12"/>
      <c r="P20" s="12"/>
    </row>
    <row r="21" ht="15.75" customHeight="1">
      <c r="A21" s="8" t="s">
        <v>500</v>
      </c>
      <c r="B21" s="8" t="s">
        <v>39</v>
      </c>
      <c r="C21" s="8" t="s">
        <v>40</v>
      </c>
      <c r="D21" s="11" t="s">
        <v>505</v>
      </c>
      <c r="E21" s="8" t="s">
        <v>506</v>
      </c>
      <c r="F21" s="8" t="s">
        <v>508</v>
      </c>
      <c r="G21" s="8" t="s">
        <v>54</v>
      </c>
      <c r="H21" s="8" t="s">
        <v>55</v>
      </c>
      <c r="I21" s="8"/>
      <c r="J21" s="8" t="s">
        <v>57</v>
      </c>
      <c r="K21" s="8" t="s">
        <v>59</v>
      </c>
      <c r="L21" s="8" t="s">
        <v>55</v>
      </c>
      <c r="M21" s="12"/>
      <c r="N21" s="12"/>
      <c r="O21" s="12"/>
      <c r="P21" s="12"/>
    </row>
    <row r="22" ht="15.75" customHeight="1">
      <c r="A22" s="8" t="s">
        <v>513</v>
      </c>
      <c r="B22" s="8" t="s">
        <v>39</v>
      </c>
      <c r="C22" s="8" t="s">
        <v>250</v>
      </c>
      <c r="D22" s="11" t="s">
        <v>514</v>
      </c>
      <c r="E22" s="8" t="s">
        <v>515</v>
      </c>
      <c r="F22" s="8" t="s">
        <v>516</v>
      </c>
      <c r="G22" s="8" t="s">
        <v>47</v>
      </c>
      <c r="H22" s="8" t="s">
        <v>55</v>
      </c>
      <c r="I22" s="8"/>
      <c r="J22" s="8" t="s">
        <v>57</v>
      </c>
      <c r="K22" s="8" t="s">
        <v>59</v>
      </c>
      <c r="L22" s="8" t="s">
        <v>55</v>
      </c>
      <c r="M22" s="12"/>
      <c r="N22" s="12"/>
      <c r="O22" s="12"/>
      <c r="P22" s="12"/>
    </row>
    <row r="23" ht="15.75" customHeight="1">
      <c r="A23" s="8" t="s">
        <v>522</v>
      </c>
      <c r="B23" s="8" t="s">
        <v>39</v>
      </c>
      <c r="C23" s="8" t="s">
        <v>250</v>
      </c>
      <c r="D23" s="11" t="s">
        <v>431</v>
      </c>
      <c r="E23" s="8" t="s">
        <v>524</v>
      </c>
      <c r="F23" s="8" t="s">
        <v>525</v>
      </c>
      <c r="G23" s="8" t="s">
        <v>117</v>
      </c>
      <c r="H23" s="8" t="s">
        <v>48</v>
      </c>
      <c r="I23" s="8" t="s">
        <v>522</v>
      </c>
      <c r="J23" s="8" t="s">
        <v>49</v>
      </c>
      <c r="K23" s="8" t="s">
        <v>32</v>
      </c>
      <c r="L23" s="8" t="s">
        <v>55</v>
      </c>
      <c r="M23" s="12"/>
      <c r="N23" s="12"/>
      <c r="O23" s="12" t="s">
        <v>530</v>
      </c>
      <c r="P23" s="12"/>
    </row>
    <row r="24" ht="15.75" customHeight="1">
      <c r="A24" s="8" t="s">
        <v>534</v>
      </c>
      <c r="B24" s="8" t="s">
        <v>39</v>
      </c>
      <c r="C24" s="8" t="s">
        <v>40</v>
      </c>
      <c r="D24" s="11" t="s">
        <v>536</v>
      </c>
      <c r="E24" s="8" t="s">
        <v>537</v>
      </c>
      <c r="F24" s="8" t="s">
        <v>539</v>
      </c>
      <c r="G24" s="8" t="s">
        <v>54</v>
      </c>
      <c r="H24" s="8" t="s">
        <v>48</v>
      </c>
      <c r="I24" s="8" t="s">
        <v>534</v>
      </c>
      <c r="J24" s="8" t="s">
        <v>401</v>
      </c>
      <c r="K24" s="8" t="s">
        <v>31</v>
      </c>
      <c r="L24" s="8" t="s">
        <v>55</v>
      </c>
      <c r="M24" s="12"/>
      <c r="N24" s="12"/>
      <c r="O24" s="12" t="s">
        <v>545</v>
      </c>
      <c r="P24" s="12"/>
    </row>
    <row r="25" ht="15.75" customHeight="1">
      <c r="A25" s="8" t="s">
        <v>547</v>
      </c>
      <c r="B25" s="8" t="s">
        <v>39</v>
      </c>
      <c r="C25" s="8" t="s">
        <v>250</v>
      </c>
      <c r="D25" s="11" t="s">
        <v>552</v>
      </c>
      <c r="E25" s="8" t="s">
        <v>553</v>
      </c>
      <c r="F25" s="8" t="s">
        <v>555</v>
      </c>
      <c r="G25" s="8" t="s">
        <v>47</v>
      </c>
      <c r="H25" s="8" t="s">
        <v>55</v>
      </c>
      <c r="I25" s="8"/>
      <c r="J25" s="8" t="s">
        <v>57</v>
      </c>
      <c r="K25" s="8" t="s">
        <v>59</v>
      </c>
      <c r="L25" s="8" t="s">
        <v>55</v>
      </c>
      <c r="M25" s="12"/>
      <c r="N25" s="12"/>
      <c r="O25" s="12"/>
      <c r="P25" s="12"/>
    </row>
    <row r="26" ht="15.75" customHeight="1">
      <c r="A26" s="8" t="s">
        <v>560</v>
      </c>
      <c r="B26" s="8" t="s">
        <v>39</v>
      </c>
      <c r="C26" s="8" t="s">
        <v>250</v>
      </c>
      <c r="D26" s="11" t="s">
        <v>563</v>
      </c>
      <c r="E26" s="8" t="s">
        <v>564</v>
      </c>
      <c r="F26" s="8" t="s">
        <v>566</v>
      </c>
      <c r="G26" s="8" t="s">
        <v>54</v>
      </c>
      <c r="H26" s="8" t="s">
        <v>55</v>
      </c>
      <c r="I26" s="8"/>
      <c r="J26" s="8" t="s">
        <v>57</v>
      </c>
      <c r="K26" s="8" t="s">
        <v>59</v>
      </c>
      <c r="L26" s="8" t="s">
        <v>55</v>
      </c>
      <c r="M26" s="12"/>
      <c r="N26" s="12"/>
      <c r="O26" s="12"/>
      <c r="P26" s="12"/>
    </row>
    <row r="27" ht="15.75" customHeight="1">
      <c r="A27" s="8" t="s">
        <v>573</v>
      </c>
      <c r="B27" s="8" t="s">
        <v>39</v>
      </c>
      <c r="C27" s="8" t="s">
        <v>250</v>
      </c>
      <c r="D27" s="11" t="s">
        <v>574</v>
      </c>
      <c r="E27" s="8" t="s">
        <v>576</v>
      </c>
      <c r="F27" s="8" t="s">
        <v>577</v>
      </c>
      <c r="G27" s="8" t="s">
        <v>47</v>
      </c>
      <c r="H27" s="8" t="s">
        <v>55</v>
      </c>
      <c r="I27" s="8"/>
      <c r="J27" s="8" t="s">
        <v>57</v>
      </c>
      <c r="K27" s="8" t="s">
        <v>59</v>
      </c>
      <c r="L27" s="8" t="s">
        <v>55</v>
      </c>
      <c r="M27" s="12"/>
      <c r="N27" s="12"/>
      <c r="O27" s="12"/>
      <c r="P27" s="12"/>
    </row>
    <row r="28" ht="15.75" customHeight="1">
      <c r="A28" s="8" t="s">
        <v>585</v>
      </c>
      <c r="B28" s="8" t="s">
        <v>39</v>
      </c>
      <c r="C28" s="8" t="s">
        <v>250</v>
      </c>
      <c r="D28" s="11" t="s">
        <v>587</v>
      </c>
      <c r="E28" s="8" t="s">
        <v>589</v>
      </c>
      <c r="F28" s="8" t="s">
        <v>590</v>
      </c>
      <c r="G28" s="8" t="s">
        <v>47</v>
      </c>
      <c r="H28" s="8" t="s">
        <v>55</v>
      </c>
      <c r="I28" s="8"/>
      <c r="J28" s="8" t="s">
        <v>57</v>
      </c>
      <c r="K28" s="8" t="s">
        <v>59</v>
      </c>
      <c r="L28" s="8" t="s">
        <v>55</v>
      </c>
      <c r="M28" s="12"/>
      <c r="N28" s="12"/>
      <c r="O28" s="12"/>
      <c r="P28" s="12"/>
    </row>
    <row r="29" ht="15.75" customHeight="1">
      <c r="A29" s="8" t="s">
        <v>599</v>
      </c>
      <c r="B29" s="8" t="s">
        <v>39</v>
      </c>
      <c r="C29" s="8" t="s">
        <v>250</v>
      </c>
      <c r="D29" s="11" t="s">
        <v>603</v>
      </c>
      <c r="E29" s="8" t="s">
        <v>604</v>
      </c>
      <c r="F29" s="8" t="s">
        <v>605</v>
      </c>
      <c r="G29" s="8" t="s">
        <v>54</v>
      </c>
      <c r="H29" s="8" t="s">
        <v>55</v>
      </c>
      <c r="I29" s="8"/>
      <c r="J29" s="8" t="s">
        <v>57</v>
      </c>
      <c r="K29" s="8" t="s">
        <v>59</v>
      </c>
      <c r="L29" s="8" t="s">
        <v>55</v>
      </c>
      <c r="M29" s="12"/>
      <c r="N29" s="12"/>
      <c r="O29" s="12"/>
      <c r="P29" s="12"/>
    </row>
    <row r="30" ht="15.75" customHeight="1">
      <c r="A30" s="8" t="s">
        <v>610</v>
      </c>
      <c r="B30" s="8" t="s">
        <v>39</v>
      </c>
      <c r="C30" s="8" t="s">
        <v>250</v>
      </c>
      <c r="D30" s="11" t="s">
        <v>615</v>
      </c>
      <c r="E30" s="8" t="s">
        <v>617</v>
      </c>
      <c r="F30" s="8" t="s">
        <v>619</v>
      </c>
      <c r="G30" s="8" t="s">
        <v>54</v>
      </c>
      <c r="H30" s="8" t="s">
        <v>55</v>
      </c>
      <c r="I30" s="8"/>
      <c r="J30" s="8" t="s">
        <v>57</v>
      </c>
      <c r="K30" s="8" t="s">
        <v>59</v>
      </c>
      <c r="L30" s="8" t="s">
        <v>55</v>
      </c>
      <c r="M30" s="12"/>
      <c r="N30" s="12"/>
      <c r="O30" s="12"/>
      <c r="P30" s="12"/>
    </row>
    <row r="31" ht="15.75" customHeight="1">
      <c r="A31" s="8" t="s">
        <v>623</v>
      </c>
      <c r="B31" s="8" t="s">
        <v>39</v>
      </c>
      <c r="C31" s="8" t="s">
        <v>250</v>
      </c>
      <c r="D31" s="11" t="s">
        <v>627</v>
      </c>
      <c r="E31" s="8" t="s">
        <v>629</v>
      </c>
      <c r="F31" s="8" t="s">
        <v>631</v>
      </c>
      <c r="G31" s="8" t="s">
        <v>47</v>
      </c>
      <c r="H31" s="8" t="s">
        <v>55</v>
      </c>
      <c r="I31" s="8"/>
      <c r="J31" s="8" t="s">
        <v>57</v>
      </c>
      <c r="K31" s="8" t="s">
        <v>59</v>
      </c>
      <c r="L31" s="8" t="s">
        <v>55</v>
      </c>
      <c r="M31" s="12"/>
      <c r="N31" s="12"/>
      <c r="O31" s="12"/>
      <c r="P31" s="12"/>
    </row>
    <row r="32" ht="15.75" customHeight="1">
      <c r="A32" s="8" t="s">
        <v>635</v>
      </c>
      <c r="B32" s="8" t="s">
        <v>39</v>
      </c>
      <c r="C32" s="8" t="s">
        <v>250</v>
      </c>
      <c r="D32" s="11" t="s">
        <v>637</v>
      </c>
      <c r="E32" s="8" t="s">
        <v>639</v>
      </c>
      <c r="F32" s="8" t="s">
        <v>642</v>
      </c>
      <c r="G32" s="8" t="s">
        <v>47</v>
      </c>
      <c r="H32" s="8" t="s">
        <v>55</v>
      </c>
      <c r="I32" s="8"/>
      <c r="J32" s="8" t="s">
        <v>57</v>
      </c>
      <c r="K32" s="8" t="s">
        <v>59</v>
      </c>
      <c r="L32" s="8" t="s">
        <v>55</v>
      </c>
      <c r="M32" s="12"/>
      <c r="N32" s="12"/>
      <c r="O32" s="12"/>
      <c r="P32" s="12"/>
    </row>
    <row r="33" ht="15.75" customHeight="1">
      <c r="A33" s="8" t="s">
        <v>648</v>
      </c>
      <c r="B33" s="8" t="s">
        <v>39</v>
      </c>
      <c r="C33" s="8" t="s">
        <v>250</v>
      </c>
      <c r="D33" s="11" t="s">
        <v>652</v>
      </c>
      <c r="E33" s="8" t="s">
        <v>653</v>
      </c>
      <c r="F33" s="8" t="s">
        <v>655</v>
      </c>
      <c r="G33" s="8" t="s">
        <v>117</v>
      </c>
      <c r="H33" s="8" t="s">
        <v>55</v>
      </c>
      <c r="I33" s="8"/>
      <c r="J33" s="8" t="s">
        <v>57</v>
      </c>
      <c r="K33" s="8" t="s">
        <v>59</v>
      </c>
      <c r="L33" s="8" t="s">
        <v>55</v>
      </c>
      <c r="M33" s="12"/>
      <c r="N33" s="12"/>
      <c r="O33" s="12"/>
      <c r="P33" s="12"/>
    </row>
    <row r="34" ht="15.75" customHeight="1">
      <c r="A34" s="8" t="s">
        <v>774</v>
      </c>
      <c r="B34" s="8" t="s">
        <v>39</v>
      </c>
      <c r="C34" s="8" t="s">
        <v>250</v>
      </c>
      <c r="D34" s="11" t="s">
        <v>777</v>
      </c>
      <c r="E34" s="8" t="s">
        <v>778</v>
      </c>
      <c r="F34" s="8" t="s">
        <v>780</v>
      </c>
      <c r="G34" s="8" t="s">
        <v>47</v>
      </c>
      <c r="H34" s="8" t="s">
        <v>48</v>
      </c>
      <c r="I34" s="8" t="s">
        <v>774</v>
      </c>
      <c r="J34" s="8" t="s">
        <v>49</v>
      </c>
      <c r="K34" s="8" t="s">
        <v>32</v>
      </c>
      <c r="L34" s="8" t="s">
        <v>55</v>
      </c>
      <c r="M34" s="12"/>
      <c r="N34" s="12"/>
      <c r="O34" s="12" t="s">
        <v>787</v>
      </c>
      <c r="P34" s="12"/>
    </row>
    <row r="35" ht="15.75" customHeight="1">
      <c r="A35" s="8" t="s">
        <v>790</v>
      </c>
      <c r="B35" s="8" t="s">
        <v>39</v>
      </c>
      <c r="C35" s="8" t="s">
        <v>250</v>
      </c>
      <c r="D35" s="11" t="s">
        <v>792</v>
      </c>
      <c r="E35" s="8" t="s">
        <v>793</v>
      </c>
      <c r="F35" s="8" t="s">
        <v>794</v>
      </c>
      <c r="G35" s="8" t="s">
        <v>47</v>
      </c>
      <c r="H35" s="8" t="s">
        <v>55</v>
      </c>
      <c r="I35" s="8"/>
      <c r="J35" s="8" t="s">
        <v>57</v>
      </c>
      <c r="K35" s="8" t="s">
        <v>59</v>
      </c>
      <c r="L35" s="8" t="s">
        <v>55</v>
      </c>
      <c r="M35" s="12"/>
      <c r="N35" s="12"/>
      <c r="O35" s="12"/>
      <c r="P35" s="12"/>
    </row>
    <row r="36" ht="15.75" customHeight="1">
      <c r="A36" s="8" t="s">
        <v>800</v>
      </c>
      <c r="B36" s="8" t="s">
        <v>39</v>
      </c>
      <c r="C36" s="8" t="s">
        <v>250</v>
      </c>
      <c r="D36" s="11" t="s">
        <v>802</v>
      </c>
      <c r="E36" s="8" t="s">
        <v>803</v>
      </c>
      <c r="F36" s="8" t="s">
        <v>805</v>
      </c>
      <c r="G36" s="8" t="s">
        <v>47</v>
      </c>
      <c r="H36" s="8" t="s">
        <v>55</v>
      </c>
      <c r="I36" s="8"/>
      <c r="J36" s="8" t="s">
        <v>57</v>
      </c>
      <c r="K36" s="8" t="s">
        <v>59</v>
      </c>
      <c r="L36" s="8" t="s">
        <v>55</v>
      </c>
      <c r="M36" s="12"/>
      <c r="N36" s="12"/>
      <c r="O36" s="12"/>
      <c r="P36" s="12"/>
    </row>
    <row r="37" ht="15.75" customHeight="1">
      <c r="A37" s="8" t="s">
        <v>813</v>
      </c>
      <c r="B37" s="8" t="s">
        <v>39</v>
      </c>
      <c r="C37" s="8" t="s">
        <v>250</v>
      </c>
      <c r="D37" s="11" t="s">
        <v>815</v>
      </c>
      <c r="E37" s="8" t="s">
        <v>817</v>
      </c>
      <c r="F37" s="8" t="s">
        <v>819</v>
      </c>
      <c r="G37" s="8" t="s">
        <v>47</v>
      </c>
      <c r="H37" s="8" t="s">
        <v>55</v>
      </c>
      <c r="I37" s="8"/>
      <c r="J37" s="8" t="s">
        <v>57</v>
      </c>
      <c r="K37" s="8" t="s">
        <v>59</v>
      </c>
      <c r="L37" s="8" t="s">
        <v>55</v>
      </c>
      <c r="M37" s="12"/>
      <c r="N37" s="12"/>
      <c r="O37" s="12"/>
      <c r="P37" s="12"/>
    </row>
    <row r="38" ht="15.75" customHeight="1">
      <c r="A38" s="8" t="s">
        <v>823</v>
      </c>
      <c r="B38" s="8" t="s">
        <v>269</v>
      </c>
      <c r="C38" s="8" t="s">
        <v>250</v>
      </c>
      <c r="D38" s="11" t="s">
        <v>829</v>
      </c>
      <c r="E38" s="8" t="s">
        <v>831</v>
      </c>
      <c r="F38" s="8" t="s">
        <v>842</v>
      </c>
      <c r="G38" s="8" t="s">
        <v>841</v>
      </c>
      <c r="H38" s="8" t="s">
        <v>55</v>
      </c>
      <c r="I38" s="8"/>
      <c r="J38" s="8" t="s">
        <v>57</v>
      </c>
      <c r="K38" s="8" t="s">
        <v>59</v>
      </c>
      <c r="L38" s="8" t="s">
        <v>55</v>
      </c>
      <c r="M38" s="12"/>
      <c r="N38" s="12"/>
      <c r="O38" s="12"/>
      <c r="P38" s="12"/>
    </row>
    <row r="39" ht="15.75" customHeight="1">
      <c r="A39" s="8" t="s">
        <v>849</v>
      </c>
      <c r="B39" s="8" t="s">
        <v>269</v>
      </c>
      <c r="C39" s="8" t="s">
        <v>40</v>
      </c>
      <c r="D39" s="11" t="s">
        <v>850</v>
      </c>
      <c r="E39" s="8" t="s">
        <v>851</v>
      </c>
      <c r="F39" s="8" t="s">
        <v>852</v>
      </c>
      <c r="G39" s="8" t="s">
        <v>836</v>
      </c>
      <c r="H39" s="8" t="s">
        <v>55</v>
      </c>
      <c r="I39" s="8"/>
      <c r="J39" s="8" t="s">
        <v>57</v>
      </c>
      <c r="K39" s="8" t="s">
        <v>59</v>
      </c>
      <c r="L39" s="8" t="s">
        <v>55</v>
      </c>
      <c r="M39" s="12"/>
      <c r="N39" s="12"/>
      <c r="O39" s="12"/>
      <c r="P39" s="12"/>
    </row>
    <row r="40" ht="15.75" customHeight="1">
      <c r="A40" s="8" t="s">
        <v>854</v>
      </c>
      <c r="B40" s="8" t="s">
        <v>269</v>
      </c>
      <c r="C40" s="8" t="s">
        <v>394</v>
      </c>
      <c r="D40" s="11" t="s">
        <v>859</v>
      </c>
      <c r="E40" s="8" t="s">
        <v>861</v>
      </c>
      <c r="F40" s="8" t="s">
        <v>862</v>
      </c>
      <c r="G40" s="8" t="s">
        <v>848</v>
      </c>
      <c r="H40" s="8" t="s">
        <v>55</v>
      </c>
      <c r="I40" s="8"/>
      <c r="J40" s="8" t="s">
        <v>57</v>
      </c>
      <c r="K40" s="8" t="s">
        <v>59</v>
      </c>
      <c r="L40" s="8" t="s">
        <v>55</v>
      </c>
      <c r="M40" s="12"/>
      <c r="N40" s="12"/>
      <c r="O40" s="12"/>
      <c r="P40" s="12"/>
    </row>
    <row r="41" ht="15.75" customHeight="1">
      <c r="A41" s="8" t="s">
        <v>868</v>
      </c>
      <c r="B41" s="8" t="s">
        <v>269</v>
      </c>
      <c r="C41" s="8" t="s">
        <v>250</v>
      </c>
      <c r="D41" s="11" t="s">
        <v>871</v>
      </c>
      <c r="E41" s="8" t="s">
        <v>872</v>
      </c>
      <c r="F41" s="8" t="s">
        <v>873</v>
      </c>
      <c r="G41" s="8" t="s">
        <v>836</v>
      </c>
      <c r="H41" s="8" t="s">
        <v>55</v>
      </c>
      <c r="I41" s="8"/>
      <c r="J41" s="8" t="s">
        <v>57</v>
      </c>
      <c r="K41" s="8" t="s">
        <v>59</v>
      </c>
      <c r="L41" s="8" t="s">
        <v>55</v>
      </c>
      <c r="M41" s="12"/>
      <c r="N41" s="12"/>
      <c r="O41" s="12"/>
      <c r="P41" s="12"/>
    </row>
    <row r="42" ht="15.75" customHeight="1">
      <c r="A42" s="8" t="s">
        <v>879</v>
      </c>
      <c r="B42" s="8" t="s">
        <v>269</v>
      </c>
      <c r="C42" s="8" t="s">
        <v>40</v>
      </c>
      <c r="D42" s="11" t="s">
        <v>883</v>
      </c>
      <c r="E42" s="8" t="s">
        <v>884</v>
      </c>
      <c r="F42" s="8" t="s">
        <v>885</v>
      </c>
      <c r="G42" s="8" t="s">
        <v>836</v>
      </c>
      <c r="H42" s="8" t="s">
        <v>55</v>
      </c>
      <c r="I42" s="8"/>
      <c r="J42" s="8" t="s">
        <v>57</v>
      </c>
      <c r="K42" s="8" t="s">
        <v>59</v>
      </c>
      <c r="L42" s="8" t="s">
        <v>55</v>
      </c>
      <c r="M42" s="12"/>
      <c r="N42" s="12"/>
      <c r="O42" s="12"/>
      <c r="P42" s="12"/>
    </row>
    <row r="43" ht="15.75" customHeight="1">
      <c r="A43" s="8" t="s">
        <v>889</v>
      </c>
      <c r="B43" s="8" t="s">
        <v>269</v>
      </c>
      <c r="C43" s="8" t="s">
        <v>40</v>
      </c>
      <c r="D43" s="11" t="s">
        <v>891</v>
      </c>
      <c r="E43" s="8" t="s">
        <v>892</v>
      </c>
      <c r="F43" s="8" t="s">
        <v>894</v>
      </c>
      <c r="G43" s="8" t="s">
        <v>836</v>
      </c>
      <c r="H43" s="8" t="s">
        <v>55</v>
      </c>
      <c r="I43" s="8"/>
      <c r="J43" s="8" t="s">
        <v>57</v>
      </c>
      <c r="K43" s="8" t="s">
        <v>59</v>
      </c>
      <c r="L43" s="8" t="s">
        <v>55</v>
      </c>
      <c r="M43" s="12"/>
      <c r="N43" s="12"/>
      <c r="O43" s="12"/>
      <c r="P43" s="12"/>
    </row>
    <row r="44" ht="15.75" customHeight="1">
      <c r="A44" s="8" t="s">
        <v>900</v>
      </c>
      <c r="B44" s="8" t="s">
        <v>269</v>
      </c>
      <c r="C44" s="8" t="s">
        <v>263</v>
      </c>
      <c r="D44" s="11" t="s">
        <v>431</v>
      </c>
      <c r="E44" s="8" t="s">
        <v>901</v>
      </c>
      <c r="F44" s="8" t="s">
        <v>902</v>
      </c>
      <c r="G44" s="8" t="s">
        <v>836</v>
      </c>
      <c r="H44" s="8" t="s">
        <v>48</v>
      </c>
      <c r="I44" s="8" t="s">
        <v>900</v>
      </c>
      <c r="J44" s="8" t="s">
        <v>49</v>
      </c>
      <c r="K44" s="8" t="s">
        <v>32</v>
      </c>
      <c r="L44" s="8" t="s">
        <v>55</v>
      </c>
      <c r="M44" s="12"/>
      <c r="N44" s="12"/>
      <c r="O44" s="12" t="s">
        <v>530</v>
      </c>
      <c r="P44" s="12"/>
    </row>
    <row r="45" ht="15.75" customHeight="1">
      <c r="A45" s="8" t="s">
        <v>906</v>
      </c>
      <c r="B45" s="8" t="s">
        <v>269</v>
      </c>
      <c r="C45" s="8" t="s">
        <v>40</v>
      </c>
      <c r="D45" s="11" t="s">
        <v>910</v>
      </c>
      <c r="E45" s="8" t="s">
        <v>912</v>
      </c>
      <c r="F45" s="8" t="s">
        <v>914</v>
      </c>
      <c r="G45" s="8" t="s">
        <v>836</v>
      </c>
      <c r="H45" s="8" t="s">
        <v>55</v>
      </c>
      <c r="I45" s="8"/>
      <c r="J45" s="8" t="s">
        <v>57</v>
      </c>
      <c r="K45" s="8" t="s">
        <v>59</v>
      </c>
      <c r="L45" s="8" t="s">
        <v>55</v>
      </c>
      <c r="M45" s="12"/>
      <c r="N45" s="12"/>
      <c r="O45" s="12"/>
      <c r="P45" s="12"/>
    </row>
    <row r="46" ht="15.75" customHeight="1">
      <c r="A46" s="8" t="s">
        <v>916</v>
      </c>
      <c r="B46" s="8" t="s">
        <v>269</v>
      </c>
      <c r="C46" s="8" t="s">
        <v>250</v>
      </c>
      <c r="D46" s="11" t="s">
        <v>918</v>
      </c>
      <c r="E46" s="8" t="s">
        <v>919</v>
      </c>
      <c r="F46" s="8" t="s">
        <v>921</v>
      </c>
      <c r="G46" s="8" t="s">
        <v>836</v>
      </c>
      <c r="H46" s="8" t="s">
        <v>55</v>
      </c>
      <c r="I46" s="8"/>
      <c r="J46" s="8" t="s">
        <v>57</v>
      </c>
      <c r="K46" s="8" t="s">
        <v>59</v>
      </c>
      <c r="L46" s="8" t="s">
        <v>55</v>
      </c>
      <c r="M46" s="12"/>
      <c r="N46" s="12"/>
      <c r="O46" s="12"/>
      <c r="P46" s="12"/>
    </row>
    <row r="47" ht="15.75" customHeight="1">
      <c r="A47" s="8" t="s">
        <v>929</v>
      </c>
      <c r="B47" s="8" t="s">
        <v>269</v>
      </c>
      <c r="C47" s="8" t="s">
        <v>250</v>
      </c>
      <c r="D47" s="11" t="s">
        <v>930</v>
      </c>
      <c r="E47" s="8" t="s">
        <v>931</v>
      </c>
      <c r="F47" s="8" t="s">
        <v>932</v>
      </c>
      <c r="G47" s="8" t="s">
        <v>848</v>
      </c>
      <c r="H47" s="8" t="s">
        <v>55</v>
      </c>
      <c r="I47" s="8"/>
      <c r="J47" s="8" t="s">
        <v>57</v>
      </c>
      <c r="K47" s="8" t="s">
        <v>59</v>
      </c>
      <c r="L47" s="8" t="s">
        <v>55</v>
      </c>
      <c r="M47" s="12"/>
      <c r="N47" s="12"/>
      <c r="O47" s="12"/>
      <c r="P47" s="12"/>
    </row>
    <row r="48" ht="15.75" customHeight="1">
      <c r="A48" s="8" t="s">
        <v>935</v>
      </c>
      <c r="B48" s="8" t="s">
        <v>269</v>
      </c>
      <c r="C48" s="8" t="s">
        <v>394</v>
      </c>
      <c r="D48" s="11" t="s">
        <v>937</v>
      </c>
      <c r="E48" s="8" t="s">
        <v>938</v>
      </c>
      <c r="F48" s="8" t="s">
        <v>939</v>
      </c>
      <c r="G48" s="8" t="s">
        <v>836</v>
      </c>
      <c r="H48" s="8" t="s">
        <v>55</v>
      </c>
      <c r="I48" s="8"/>
      <c r="J48" s="8" t="s">
        <v>57</v>
      </c>
      <c r="K48" s="8" t="s">
        <v>59</v>
      </c>
      <c r="L48" s="8" t="s">
        <v>55</v>
      </c>
      <c r="M48" s="12"/>
      <c r="N48" s="12"/>
      <c r="O48" s="12"/>
      <c r="P48" s="12"/>
    </row>
    <row r="49" ht="15.75" customHeight="1">
      <c r="A49" s="8" t="s">
        <v>946</v>
      </c>
      <c r="B49" s="8" t="s">
        <v>269</v>
      </c>
      <c r="C49" s="8" t="s">
        <v>250</v>
      </c>
      <c r="D49" s="11" t="s">
        <v>948</v>
      </c>
      <c r="E49" s="8" t="s">
        <v>949</v>
      </c>
      <c r="F49" s="8" t="s">
        <v>950</v>
      </c>
      <c r="G49" s="8" t="s">
        <v>848</v>
      </c>
      <c r="H49" s="8" t="s">
        <v>55</v>
      </c>
      <c r="I49" s="8"/>
      <c r="J49" s="8" t="s">
        <v>57</v>
      </c>
      <c r="K49" s="8" t="s">
        <v>59</v>
      </c>
      <c r="L49" s="8" t="s">
        <v>55</v>
      </c>
      <c r="M49" s="12"/>
      <c r="N49" s="12"/>
      <c r="O49" s="12"/>
      <c r="P49" s="12"/>
    </row>
    <row r="50" ht="15.75" customHeight="1">
      <c r="A50" s="8" t="s">
        <v>952</v>
      </c>
      <c r="B50" s="8" t="s">
        <v>269</v>
      </c>
      <c r="C50" s="8" t="s">
        <v>250</v>
      </c>
      <c r="D50" s="11" t="s">
        <v>956</v>
      </c>
      <c r="E50" s="8" t="s">
        <v>958</v>
      </c>
      <c r="F50" s="8" t="s">
        <v>959</v>
      </c>
      <c r="G50" s="8" t="s">
        <v>836</v>
      </c>
      <c r="H50" s="8" t="s">
        <v>55</v>
      </c>
      <c r="I50" s="8"/>
      <c r="J50" s="8" t="s">
        <v>57</v>
      </c>
      <c r="K50" s="8" t="s">
        <v>59</v>
      </c>
      <c r="L50" s="8" t="s">
        <v>55</v>
      </c>
      <c r="M50" s="12"/>
      <c r="N50" s="12"/>
      <c r="O50" s="12"/>
      <c r="P50" s="12"/>
    </row>
    <row r="51" ht="15.75" customHeight="1">
      <c r="A51" s="8" t="s">
        <v>964</v>
      </c>
      <c r="B51" s="8" t="s">
        <v>269</v>
      </c>
      <c r="C51" s="8" t="s">
        <v>40</v>
      </c>
      <c r="D51" s="11" t="s">
        <v>965</v>
      </c>
      <c r="E51" s="8" t="s">
        <v>967</v>
      </c>
      <c r="F51" s="8" t="s">
        <v>968</v>
      </c>
      <c r="G51" s="8" t="s">
        <v>836</v>
      </c>
      <c r="H51" s="8" t="s">
        <v>55</v>
      </c>
      <c r="I51" s="8"/>
      <c r="J51" s="8" t="s">
        <v>57</v>
      </c>
      <c r="K51" s="8" t="s">
        <v>59</v>
      </c>
      <c r="L51" s="8" t="s">
        <v>55</v>
      </c>
      <c r="M51" s="12"/>
      <c r="N51" s="12"/>
      <c r="O51" s="12"/>
      <c r="P51" s="12"/>
    </row>
    <row r="52" ht="15.75" customHeight="1">
      <c r="A52" s="8" t="s">
        <v>973</v>
      </c>
      <c r="B52" s="8" t="s">
        <v>269</v>
      </c>
      <c r="C52" s="8" t="s">
        <v>40</v>
      </c>
      <c r="D52" s="11" t="s">
        <v>975</v>
      </c>
      <c r="E52" s="8" t="s">
        <v>976</v>
      </c>
      <c r="F52" s="8" t="s">
        <v>977</v>
      </c>
      <c r="G52" s="8" t="s">
        <v>979</v>
      </c>
      <c r="H52" s="8" t="s">
        <v>55</v>
      </c>
      <c r="I52" s="8"/>
      <c r="J52" s="8" t="s">
        <v>57</v>
      </c>
      <c r="K52" s="8" t="s">
        <v>59</v>
      </c>
      <c r="L52" s="8" t="s">
        <v>55</v>
      </c>
      <c r="M52" s="12"/>
      <c r="N52" s="12"/>
      <c r="O52" s="12"/>
      <c r="P52" s="12"/>
    </row>
    <row r="53" ht="15.75" customHeight="1">
      <c r="A53" s="8" t="s">
        <v>984</v>
      </c>
      <c r="B53" s="8" t="s">
        <v>269</v>
      </c>
      <c r="C53" s="8" t="s">
        <v>263</v>
      </c>
      <c r="D53" s="11" t="s">
        <v>986</v>
      </c>
      <c r="E53" s="8" t="s">
        <v>988</v>
      </c>
      <c r="F53" s="8" t="s">
        <v>990</v>
      </c>
      <c r="G53" s="8" t="s">
        <v>836</v>
      </c>
      <c r="H53" s="8" t="s">
        <v>55</v>
      </c>
      <c r="I53" s="8"/>
      <c r="J53" s="8" t="s">
        <v>57</v>
      </c>
      <c r="K53" s="8" t="s">
        <v>59</v>
      </c>
      <c r="L53" s="8" t="s">
        <v>55</v>
      </c>
      <c r="M53" s="12"/>
      <c r="N53" s="12"/>
      <c r="O53" s="12"/>
      <c r="P53" s="12"/>
    </row>
    <row r="54" ht="15.75" customHeight="1">
      <c r="A54" s="8" t="s">
        <v>995</v>
      </c>
      <c r="B54" s="8" t="s">
        <v>424</v>
      </c>
      <c r="C54" s="8" t="s">
        <v>250</v>
      </c>
      <c r="D54" s="11" t="s">
        <v>431</v>
      </c>
      <c r="E54" s="8" t="s">
        <v>997</v>
      </c>
      <c r="F54" s="8" t="s">
        <v>999</v>
      </c>
      <c r="G54" s="8" t="s">
        <v>1000</v>
      </c>
      <c r="H54" s="8" t="s">
        <v>55</v>
      </c>
      <c r="I54" s="8"/>
      <c r="J54" s="8" t="s">
        <v>57</v>
      </c>
      <c r="K54" s="8" t="s">
        <v>59</v>
      </c>
      <c r="L54" s="8" t="s">
        <v>55</v>
      </c>
      <c r="M54" s="12"/>
      <c r="N54" s="12"/>
      <c r="O54" s="12"/>
      <c r="P54" s="12"/>
    </row>
    <row r="55" ht="15.75" customHeight="1">
      <c r="A55" s="8" t="s">
        <v>1007</v>
      </c>
      <c r="B55" s="8" t="s">
        <v>424</v>
      </c>
      <c r="C55" s="8" t="s">
        <v>250</v>
      </c>
      <c r="D55" s="11" t="s">
        <v>965</v>
      </c>
      <c r="E55" s="8" t="s">
        <v>1008</v>
      </c>
      <c r="F55" s="8" t="s">
        <v>1009</v>
      </c>
      <c r="G55" s="8" t="s">
        <v>1003</v>
      </c>
      <c r="H55" s="8" t="s">
        <v>55</v>
      </c>
      <c r="I55" s="8"/>
      <c r="J55" s="8" t="s">
        <v>57</v>
      </c>
      <c r="K55" s="8" t="s">
        <v>59</v>
      </c>
      <c r="L55" s="8" t="s">
        <v>55</v>
      </c>
      <c r="M55" s="12"/>
      <c r="N55" s="12"/>
      <c r="O55" s="12"/>
      <c r="P55" s="12"/>
    </row>
    <row r="56" ht="15.75" customHeight="1">
      <c r="A56" s="8" t="s">
        <v>1015</v>
      </c>
      <c r="B56" s="8" t="s">
        <v>424</v>
      </c>
      <c r="C56" s="8" t="s">
        <v>263</v>
      </c>
      <c r="D56" s="11" t="s">
        <v>1018</v>
      </c>
      <c r="E56" s="8" t="s">
        <v>1019</v>
      </c>
      <c r="F56" s="8" t="s">
        <v>1020</v>
      </c>
      <c r="G56" s="8" t="s">
        <v>1003</v>
      </c>
      <c r="H56" s="8" t="s">
        <v>48</v>
      </c>
      <c r="I56" s="8" t="s">
        <v>1015</v>
      </c>
      <c r="J56" s="8" t="s">
        <v>49</v>
      </c>
      <c r="K56" s="8" t="s">
        <v>32</v>
      </c>
      <c r="L56" s="8" t="s">
        <v>55</v>
      </c>
      <c r="M56" s="12"/>
      <c r="N56" s="12"/>
      <c r="O56" s="12" t="s">
        <v>1024</v>
      </c>
      <c r="P56" s="12"/>
    </row>
    <row r="57" ht="15.75" customHeight="1">
      <c r="A57" s="8" t="s">
        <v>1040</v>
      </c>
      <c r="B57" s="8" t="s">
        <v>424</v>
      </c>
      <c r="C57" s="8" t="s">
        <v>250</v>
      </c>
      <c r="D57" s="11" t="s">
        <v>1047</v>
      </c>
      <c r="E57" s="8" t="s">
        <v>1050</v>
      </c>
      <c r="F57" s="8" t="s">
        <v>1052</v>
      </c>
      <c r="G57" s="8" t="s">
        <v>1031</v>
      </c>
      <c r="H57" s="8" t="s">
        <v>48</v>
      </c>
      <c r="I57" s="8" t="s">
        <v>1040</v>
      </c>
      <c r="J57" s="8" t="s">
        <v>49</v>
      </c>
      <c r="K57" s="8" t="s">
        <v>31</v>
      </c>
      <c r="L57" s="8" t="s">
        <v>55</v>
      </c>
      <c r="M57" s="12"/>
      <c r="N57" s="12"/>
      <c r="O57" s="12" t="s">
        <v>1057</v>
      </c>
      <c r="P57" s="12"/>
    </row>
    <row r="58" ht="15.75" customHeight="1">
      <c r="A58" s="8" t="s">
        <v>1072</v>
      </c>
      <c r="B58" s="8" t="s">
        <v>424</v>
      </c>
      <c r="C58" s="8" t="s">
        <v>250</v>
      </c>
      <c r="D58" s="11" t="s">
        <v>1074</v>
      </c>
      <c r="E58" s="8" t="s">
        <v>1076</v>
      </c>
      <c r="F58" s="8" t="s">
        <v>1079</v>
      </c>
      <c r="G58" s="8" t="s">
        <v>1000</v>
      </c>
      <c r="H58" s="8" t="s">
        <v>55</v>
      </c>
      <c r="I58" s="8"/>
      <c r="J58" s="8" t="s">
        <v>57</v>
      </c>
      <c r="K58" s="8" t="s">
        <v>59</v>
      </c>
      <c r="L58" s="8" t="s">
        <v>55</v>
      </c>
      <c r="M58" s="12"/>
      <c r="N58" s="12"/>
      <c r="O58" s="12"/>
      <c r="P58" s="12"/>
    </row>
    <row r="59" ht="15.75" customHeight="1">
      <c r="A59" s="8" t="s">
        <v>1088</v>
      </c>
      <c r="B59" s="8" t="s">
        <v>424</v>
      </c>
      <c r="C59" s="8" t="s">
        <v>250</v>
      </c>
      <c r="D59" s="11" t="s">
        <v>1091</v>
      </c>
      <c r="E59" s="8" t="s">
        <v>1092</v>
      </c>
      <c r="F59" s="8" t="s">
        <v>1093</v>
      </c>
      <c r="G59" s="8" t="s">
        <v>1000</v>
      </c>
      <c r="H59" s="8" t="s">
        <v>55</v>
      </c>
      <c r="I59" s="8"/>
      <c r="J59" s="8" t="s">
        <v>57</v>
      </c>
      <c r="K59" s="8" t="s">
        <v>59</v>
      </c>
      <c r="L59" s="8" t="s">
        <v>55</v>
      </c>
      <c r="M59" s="12"/>
      <c r="N59" s="12"/>
      <c r="O59" s="12"/>
      <c r="P59" s="12"/>
    </row>
    <row r="60" ht="15.75" customHeight="1">
      <c r="A60" s="8" t="s">
        <v>1103</v>
      </c>
      <c r="B60" s="8" t="s">
        <v>424</v>
      </c>
      <c r="C60" s="8" t="s">
        <v>263</v>
      </c>
      <c r="D60" s="11" t="s">
        <v>1104</v>
      </c>
      <c r="E60" s="8" t="s">
        <v>1107</v>
      </c>
      <c r="F60" s="8" t="s">
        <v>1108</v>
      </c>
      <c r="G60" s="8" t="s">
        <v>1109</v>
      </c>
      <c r="H60" s="8" t="s">
        <v>55</v>
      </c>
      <c r="I60" s="8"/>
      <c r="J60" s="8" t="s">
        <v>57</v>
      </c>
      <c r="K60" s="8" t="s">
        <v>59</v>
      </c>
      <c r="L60" s="8" t="s">
        <v>55</v>
      </c>
      <c r="M60" s="12"/>
      <c r="N60" s="12"/>
      <c r="O60" s="12"/>
      <c r="P60" s="12"/>
    </row>
    <row r="61" ht="15.75" customHeight="1">
      <c r="A61" s="8" t="s">
        <v>1117</v>
      </c>
      <c r="B61" s="8" t="s">
        <v>424</v>
      </c>
      <c r="C61" s="8" t="s">
        <v>394</v>
      </c>
      <c r="D61" s="11" t="s">
        <v>1120</v>
      </c>
      <c r="E61" s="8" t="s">
        <v>1121</v>
      </c>
      <c r="F61" s="8" t="s">
        <v>1123</v>
      </c>
      <c r="G61" s="8" t="s">
        <v>1003</v>
      </c>
      <c r="H61" s="8" t="s">
        <v>55</v>
      </c>
      <c r="I61" s="8"/>
      <c r="J61" s="8" t="s">
        <v>57</v>
      </c>
      <c r="K61" s="8" t="s">
        <v>59</v>
      </c>
      <c r="L61" s="8" t="s">
        <v>55</v>
      </c>
      <c r="M61" s="12"/>
      <c r="N61" s="12"/>
      <c r="O61" s="12"/>
      <c r="P61" s="12"/>
    </row>
    <row r="62" ht="15.75" customHeight="1">
      <c r="A62" s="8" t="s">
        <v>1131</v>
      </c>
      <c r="B62" s="8" t="s">
        <v>424</v>
      </c>
      <c r="C62" s="8" t="s">
        <v>250</v>
      </c>
      <c r="D62" s="11" t="s">
        <v>1136</v>
      </c>
      <c r="E62" s="8" t="s">
        <v>1137</v>
      </c>
      <c r="F62" s="8" t="s">
        <v>1139</v>
      </c>
      <c r="G62" s="8" t="s">
        <v>1003</v>
      </c>
      <c r="H62" s="8" t="s">
        <v>48</v>
      </c>
      <c r="I62" s="8" t="s">
        <v>1131</v>
      </c>
      <c r="J62" s="8" t="s">
        <v>49</v>
      </c>
      <c r="K62" s="8" t="s">
        <v>32</v>
      </c>
      <c r="L62" s="8" t="s">
        <v>55</v>
      </c>
      <c r="M62" s="12"/>
      <c r="N62" s="12"/>
      <c r="O62" s="12" t="s">
        <v>1142</v>
      </c>
      <c r="P62" s="12"/>
    </row>
    <row r="63" ht="15.75" customHeight="1">
      <c r="A63" s="8" t="s">
        <v>1143</v>
      </c>
      <c r="B63" s="8" t="s">
        <v>424</v>
      </c>
      <c r="C63" s="8" t="s">
        <v>263</v>
      </c>
      <c r="D63" s="11" t="s">
        <v>1145</v>
      </c>
      <c r="E63" s="8" t="s">
        <v>1146</v>
      </c>
      <c r="F63" s="8" t="s">
        <v>1147</v>
      </c>
      <c r="G63" s="8" t="s">
        <v>1148</v>
      </c>
      <c r="H63" s="8" t="s">
        <v>55</v>
      </c>
      <c r="I63" s="8"/>
      <c r="J63" s="8" t="s">
        <v>57</v>
      </c>
      <c r="K63" s="8" t="s">
        <v>59</v>
      </c>
      <c r="L63" s="8" t="s">
        <v>55</v>
      </c>
      <c r="M63" s="12"/>
      <c r="N63" s="12"/>
      <c r="O63" s="12"/>
      <c r="P63" s="12"/>
    </row>
    <row r="64" ht="15.75" customHeight="1">
      <c r="A64" s="8" t="s">
        <v>1151</v>
      </c>
      <c r="B64" s="8" t="s">
        <v>424</v>
      </c>
      <c r="C64" s="8" t="s">
        <v>250</v>
      </c>
      <c r="D64" s="11" t="s">
        <v>431</v>
      </c>
      <c r="E64" s="8" t="s">
        <v>1154</v>
      </c>
      <c r="F64" s="8" t="s">
        <v>1155</v>
      </c>
      <c r="G64" s="8" t="s">
        <v>1000</v>
      </c>
      <c r="H64" s="8" t="s">
        <v>55</v>
      </c>
      <c r="I64" s="8"/>
      <c r="J64" s="8" t="s">
        <v>57</v>
      </c>
      <c r="K64" s="8" t="s">
        <v>59</v>
      </c>
      <c r="L64" s="8" t="s">
        <v>55</v>
      </c>
      <c r="M64" s="12"/>
      <c r="N64" s="12"/>
      <c r="O64" s="12"/>
      <c r="P64" s="12"/>
    </row>
    <row r="65" ht="15.75" customHeight="1">
      <c r="A65" s="8" t="s">
        <v>1160</v>
      </c>
      <c r="B65" s="8" t="s">
        <v>424</v>
      </c>
      <c r="C65" s="8" t="s">
        <v>250</v>
      </c>
      <c r="D65" s="11" t="s">
        <v>1161</v>
      </c>
      <c r="E65" s="8" t="s">
        <v>1162</v>
      </c>
      <c r="F65" s="8" t="s">
        <v>1163</v>
      </c>
      <c r="G65" s="8" t="s">
        <v>1000</v>
      </c>
      <c r="H65" s="8" t="s">
        <v>55</v>
      </c>
      <c r="I65" s="8"/>
      <c r="J65" s="8" t="s">
        <v>57</v>
      </c>
      <c r="K65" s="8" t="s">
        <v>59</v>
      </c>
      <c r="L65" s="8" t="s">
        <v>55</v>
      </c>
      <c r="M65" s="12"/>
      <c r="N65" s="12"/>
      <c r="O65" s="12"/>
      <c r="P65" s="12"/>
    </row>
    <row r="66" ht="15.75" customHeight="1">
      <c r="A66" s="8" t="s">
        <v>1167</v>
      </c>
      <c r="B66" s="8" t="s">
        <v>424</v>
      </c>
      <c r="C66" s="8" t="s">
        <v>250</v>
      </c>
      <c r="D66" s="11" t="s">
        <v>1170</v>
      </c>
      <c r="E66" s="8" t="s">
        <v>1171</v>
      </c>
      <c r="F66" s="8" t="s">
        <v>1172</v>
      </c>
      <c r="G66" s="8" t="s">
        <v>1000</v>
      </c>
      <c r="H66" s="8" t="s">
        <v>55</v>
      </c>
      <c r="I66" s="8"/>
      <c r="J66" s="8" t="s">
        <v>57</v>
      </c>
      <c r="K66" s="8" t="s">
        <v>59</v>
      </c>
      <c r="L66" s="8" t="s">
        <v>55</v>
      </c>
      <c r="M66" s="12"/>
      <c r="N66" s="12"/>
      <c r="O66" s="12"/>
      <c r="P66" s="12"/>
    </row>
    <row r="67" ht="15.75" customHeight="1">
      <c r="A67" s="8" t="s">
        <v>1177</v>
      </c>
      <c r="B67" s="8" t="s">
        <v>424</v>
      </c>
      <c r="C67" s="8" t="s">
        <v>250</v>
      </c>
      <c r="D67" s="11" t="s">
        <v>1179</v>
      </c>
      <c r="E67" s="8" t="s">
        <v>1181</v>
      </c>
      <c r="F67" s="8" t="s">
        <v>1182</v>
      </c>
      <c r="G67" s="8" t="s">
        <v>982</v>
      </c>
      <c r="H67" s="8" t="s">
        <v>55</v>
      </c>
      <c r="I67" s="8"/>
      <c r="J67" s="8" t="s">
        <v>57</v>
      </c>
      <c r="K67" s="8" t="s">
        <v>59</v>
      </c>
      <c r="L67" s="8" t="s">
        <v>55</v>
      </c>
      <c r="M67" s="12"/>
      <c r="N67" s="12"/>
      <c r="O67" s="12"/>
      <c r="P67" s="12"/>
    </row>
    <row r="68" ht="15.75" customHeight="1">
      <c r="A68" s="8" t="s">
        <v>1188</v>
      </c>
      <c r="B68" s="8" t="s">
        <v>424</v>
      </c>
      <c r="C68" s="8" t="s">
        <v>250</v>
      </c>
      <c r="D68" s="11" t="s">
        <v>1179</v>
      </c>
      <c r="E68" s="8" t="s">
        <v>1190</v>
      </c>
      <c r="F68" s="8" t="s">
        <v>1191</v>
      </c>
      <c r="G68" s="8" t="s">
        <v>982</v>
      </c>
      <c r="H68" s="8" t="s">
        <v>48</v>
      </c>
      <c r="I68" s="8" t="s">
        <v>1188</v>
      </c>
      <c r="J68" s="8" t="s">
        <v>49</v>
      </c>
      <c r="K68" s="8" t="s">
        <v>31</v>
      </c>
      <c r="L68" s="8" t="s">
        <v>55</v>
      </c>
      <c r="M68" s="12"/>
      <c r="N68" s="12"/>
      <c r="O68" s="12" t="s">
        <v>77</v>
      </c>
      <c r="P68" s="12"/>
    </row>
    <row r="69" ht="15.75" customHeight="1">
      <c r="A69" s="8" t="s">
        <v>1198</v>
      </c>
      <c r="B69" s="8" t="s">
        <v>424</v>
      </c>
      <c r="C69" s="8" t="s">
        <v>40</v>
      </c>
      <c r="D69" s="11" t="s">
        <v>1199</v>
      </c>
      <c r="E69" s="8" t="s">
        <v>1200</v>
      </c>
      <c r="F69" s="8" t="s">
        <v>1201</v>
      </c>
      <c r="G69" s="8" t="s">
        <v>1051</v>
      </c>
      <c r="H69" s="8" t="s">
        <v>55</v>
      </c>
      <c r="I69" s="8"/>
      <c r="J69" s="8" t="s">
        <v>57</v>
      </c>
      <c r="K69" s="8" t="s">
        <v>59</v>
      </c>
      <c r="L69" s="8" t="s">
        <v>55</v>
      </c>
      <c r="M69" s="12"/>
      <c r="N69" s="12"/>
      <c r="O69" s="12"/>
      <c r="P69" s="12"/>
    </row>
    <row r="70" ht="15.75" customHeight="1">
      <c r="A70" s="8" t="s">
        <v>1204</v>
      </c>
      <c r="B70" s="8" t="s">
        <v>424</v>
      </c>
      <c r="C70" s="8" t="s">
        <v>250</v>
      </c>
      <c r="D70" s="11" t="s">
        <v>1179</v>
      </c>
      <c r="E70" s="8" t="s">
        <v>1207</v>
      </c>
      <c r="F70" s="8" t="s">
        <v>1209</v>
      </c>
      <c r="G70" s="8" t="s">
        <v>982</v>
      </c>
      <c r="H70" s="8" t="s">
        <v>48</v>
      </c>
      <c r="I70" s="8" t="s">
        <v>1204</v>
      </c>
      <c r="J70" s="8" t="s">
        <v>49</v>
      </c>
      <c r="K70" s="8" t="s">
        <v>31</v>
      </c>
      <c r="L70" s="8" t="s">
        <v>55</v>
      </c>
      <c r="M70" s="12"/>
      <c r="N70" s="12"/>
      <c r="O70" s="12" t="s">
        <v>1213</v>
      </c>
      <c r="P70" s="12"/>
    </row>
    <row r="71" ht="15.75" customHeight="1">
      <c r="A71" s="8" t="s">
        <v>1214</v>
      </c>
      <c r="B71" s="8" t="s">
        <v>424</v>
      </c>
      <c r="C71" s="8" t="s">
        <v>40</v>
      </c>
      <c r="D71" s="11" t="s">
        <v>1216</v>
      </c>
      <c r="E71" s="8" t="s">
        <v>1217</v>
      </c>
      <c r="F71" s="8" t="s">
        <v>1218</v>
      </c>
      <c r="G71" s="8" t="s">
        <v>1003</v>
      </c>
      <c r="H71" s="8" t="s">
        <v>48</v>
      </c>
      <c r="I71" s="8" t="s">
        <v>1214</v>
      </c>
      <c r="J71" s="8" t="s">
        <v>49</v>
      </c>
      <c r="K71" s="8" t="s">
        <v>32</v>
      </c>
      <c r="L71" s="8" t="s">
        <v>48</v>
      </c>
      <c r="M71" s="12" t="s">
        <v>1212</v>
      </c>
      <c r="N71" s="12" t="s">
        <v>391</v>
      </c>
      <c r="O71" s="12" t="s">
        <v>1223</v>
      </c>
      <c r="P71" s="12" t="s">
        <v>1225</v>
      </c>
    </row>
    <row r="72" ht="15.75" customHeight="1">
      <c r="A72" s="8" t="s">
        <v>1226</v>
      </c>
      <c r="B72" s="8" t="s">
        <v>424</v>
      </c>
      <c r="C72" s="8" t="s">
        <v>307</v>
      </c>
      <c r="D72" s="11" t="s">
        <v>1228</v>
      </c>
      <c r="E72" s="8" t="s">
        <v>1229</v>
      </c>
      <c r="F72" s="8" t="s">
        <v>1231</v>
      </c>
      <c r="G72" s="8" t="s">
        <v>1000</v>
      </c>
      <c r="H72" s="8" t="s">
        <v>48</v>
      </c>
      <c r="I72" s="8" t="s">
        <v>1226</v>
      </c>
      <c r="J72" s="8" t="s">
        <v>49</v>
      </c>
      <c r="K72" s="8" t="s">
        <v>31</v>
      </c>
      <c r="L72" s="8" t="s">
        <v>55</v>
      </c>
      <c r="M72" s="12"/>
      <c r="N72" s="12"/>
      <c r="O72" s="12" t="s">
        <v>151</v>
      </c>
      <c r="P72" s="12"/>
    </row>
    <row r="73" ht="15.75" customHeight="1">
      <c r="A73" s="8" t="s">
        <v>1236</v>
      </c>
      <c r="B73" s="8" t="s">
        <v>424</v>
      </c>
      <c r="C73" s="8" t="s">
        <v>263</v>
      </c>
      <c r="D73" s="11" t="s">
        <v>1240</v>
      </c>
      <c r="E73" s="8" t="s">
        <v>1242</v>
      </c>
      <c r="F73" s="8" t="s">
        <v>1243</v>
      </c>
      <c r="G73" s="8" t="s">
        <v>1003</v>
      </c>
      <c r="H73" s="8" t="s">
        <v>55</v>
      </c>
      <c r="I73" s="8"/>
      <c r="J73" s="8" t="s">
        <v>57</v>
      </c>
      <c r="K73" s="8" t="s">
        <v>59</v>
      </c>
      <c r="L73" s="8" t="s">
        <v>55</v>
      </c>
      <c r="M73" s="12"/>
      <c r="N73" s="12"/>
      <c r="O73" s="12"/>
      <c r="P73" s="12"/>
    </row>
    <row r="74" ht="15.75" customHeight="1">
      <c r="A74" s="8" t="s">
        <v>1247</v>
      </c>
      <c r="B74" s="8" t="s">
        <v>424</v>
      </c>
      <c r="C74" s="8" t="s">
        <v>250</v>
      </c>
      <c r="D74" s="11" t="s">
        <v>1179</v>
      </c>
      <c r="E74" s="8" t="s">
        <v>1250</v>
      </c>
      <c r="F74" s="8" t="s">
        <v>1252</v>
      </c>
      <c r="G74" s="8" t="s">
        <v>982</v>
      </c>
      <c r="H74" s="8" t="s">
        <v>55</v>
      </c>
      <c r="I74" s="8"/>
      <c r="J74" s="8" t="s">
        <v>57</v>
      </c>
      <c r="K74" s="8" t="s">
        <v>59</v>
      </c>
      <c r="L74" s="8" t="s">
        <v>55</v>
      </c>
      <c r="M74" s="12"/>
      <c r="N74" s="12"/>
      <c r="O74" s="12"/>
      <c r="P74" s="12"/>
    </row>
    <row r="75" ht="15.75" customHeight="1">
      <c r="A75" s="8" t="s">
        <v>1255</v>
      </c>
      <c r="B75" s="8" t="s">
        <v>424</v>
      </c>
      <c r="C75" s="8" t="s">
        <v>250</v>
      </c>
      <c r="D75" s="11" t="s">
        <v>1256</v>
      </c>
      <c r="E75" s="8" t="s">
        <v>1257</v>
      </c>
      <c r="F75" s="8" t="s">
        <v>1258</v>
      </c>
      <c r="G75" s="8" t="s">
        <v>1148</v>
      </c>
      <c r="H75" s="8" t="s">
        <v>55</v>
      </c>
      <c r="I75" s="8"/>
      <c r="J75" s="8" t="s">
        <v>57</v>
      </c>
      <c r="K75" s="8" t="s">
        <v>59</v>
      </c>
      <c r="L75" s="8" t="s">
        <v>55</v>
      </c>
      <c r="M75" s="12"/>
      <c r="N75" s="12"/>
      <c r="O75" s="12"/>
      <c r="P75" s="12"/>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75"/>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2026-09-26T05:24:00Z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9D1B339F550F4CF7B7B12C2DC163559D_12</vt:lpwstr>
  </property>
  <property fmtid="{D5CDD505-2E9C-101B-9397-08002B2CF9AE}" pid="3" name="KSOProductBuildVer">
    <vt:lpwstr>1033-12.1.0.28485</vt:lpwstr>
  </property>
  <property fmtid="{D5CDD505-2E9C-101B-9397-08002B2CF9AE}" pid="4" name="CalculationRule">
    <vt:i4>0</vt:i4>
  </property>
</Properties>
</file>